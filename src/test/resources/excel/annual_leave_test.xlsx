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inhy\awesomelead\"/>
    </mc:Choice>
  </mc:AlternateContent>
  <xr:revisionPtr revIDLastSave="0" documentId="13_ncr:1_{A0139BDC-9CFE-4CC1-B8F4-01D61D8565E5}" xr6:coauthVersionLast="47" xr6:coauthVersionMax="47" xr10:uidLastSave="{00000000-0000-0000-0000-000000000000}"/>
  <bookViews>
    <workbookView xWindow="46080" yWindow="10545" windowWidth="21600" windowHeight="11055" activeTab="6" xr2:uid="{00000000-000D-0000-FFFF-FFFF00000000}"/>
  </bookViews>
  <sheets>
    <sheet name="1월" sheetId="46" r:id="rId1"/>
    <sheet name="2월" sheetId="47" r:id="rId2"/>
    <sheet name="3월" sheetId="48" r:id="rId3"/>
    <sheet name="5월" sheetId="49" r:id="rId4"/>
    <sheet name="6월" sheetId="50" r:id="rId5"/>
    <sheet name="7월" sheetId="51" r:id="rId6"/>
    <sheet name="8월" sheetId="52" r:id="rId7"/>
  </sheets>
  <definedNames>
    <definedName name="_xlnm.Print_Area" localSheetId="0">'1월'!$A$1:$K$44</definedName>
    <definedName name="_xlnm.Print_Area" localSheetId="1">'2월'!$A$1:$K$44</definedName>
    <definedName name="_xlnm.Print_Area" localSheetId="2">'3월'!$A$1:$K$43</definedName>
    <definedName name="_xlnm.Print_Area" localSheetId="3">'5월'!$A$1:$K$41</definedName>
    <definedName name="_xlnm.Print_Area" localSheetId="4">'6월'!$A$1:$K$40</definedName>
    <definedName name="_xlnm.Print_Area" localSheetId="5">'7월'!$A$1:$K$40</definedName>
    <definedName name="_xlnm.Print_Area" localSheetId="6">'8월'!$A$1:$K$41</definedName>
    <definedName name="_xlnm.Print_Titles" localSheetId="0">'1월'!$5:$7</definedName>
    <definedName name="_xlnm.Print_Titles" localSheetId="1">'2월'!$5:$7</definedName>
    <definedName name="_xlnm.Print_Titles" localSheetId="2">'3월'!$5:$7</definedName>
    <definedName name="_xlnm.Print_Titles" localSheetId="3">'5월'!$5:$7</definedName>
    <definedName name="_xlnm.Print_Titles" localSheetId="4">'6월'!$5:$7</definedName>
    <definedName name="_xlnm.Print_Titles" localSheetId="5">'7월'!$5:$7</definedName>
    <definedName name="_xlnm.Print_Titles" localSheetId="6">'8월'!$5:$7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52" l="1"/>
  <c r="J32" i="51" l="1"/>
  <c r="J33" i="51"/>
  <c r="J34" i="51"/>
  <c r="J35" i="51"/>
  <c r="J36" i="51"/>
  <c r="J37" i="51"/>
  <c r="J38" i="51"/>
  <c r="J31" i="51"/>
  <c r="J30" i="51"/>
  <c r="J29" i="51"/>
  <c r="J28" i="51"/>
  <c r="J27" i="51"/>
  <c r="J26" i="51"/>
  <c r="J25" i="51"/>
  <c r="J24" i="51"/>
  <c r="J23" i="51"/>
  <c r="J22" i="51"/>
  <c r="J2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38" i="50" l="1"/>
  <c r="J37" i="50"/>
  <c r="J36" i="50"/>
  <c r="J35" i="50"/>
  <c r="J34" i="50"/>
  <c r="J33" i="50"/>
  <c r="J32" i="50"/>
  <c r="J31" i="50"/>
  <c r="J30" i="50"/>
  <c r="J29" i="50"/>
  <c r="J28" i="50"/>
  <c r="J27" i="50"/>
  <c r="J26" i="50"/>
  <c r="J25" i="50"/>
  <c r="J24" i="50"/>
  <c r="J23" i="50"/>
  <c r="J22" i="50"/>
  <c r="J21" i="50"/>
  <c r="J20" i="50"/>
  <c r="J19" i="50"/>
  <c r="J18" i="50"/>
  <c r="J17" i="50"/>
  <c r="J16" i="50"/>
  <c r="J15" i="50"/>
  <c r="J14" i="50"/>
  <c r="J13" i="50"/>
  <c r="J12" i="50"/>
  <c r="J11" i="50"/>
  <c r="J10" i="50"/>
  <c r="J9" i="50"/>
  <c r="J8" i="50"/>
  <c r="J39" i="49" l="1"/>
  <c r="J38" i="49"/>
  <c r="J37" i="49"/>
  <c r="J36" i="49"/>
  <c r="J35" i="49"/>
  <c r="J34" i="49"/>
  <c r="J33" i="49"/>
  <c r="J32" i="49"/>
  <c r="J31" i="49"/>
  <c r="J30" i="49"/>
  <c r="J29" i="49"/>
  <c r="J28" i="49"/>
  <c r="J27" i="49"/>
  <c r="J26" i="49"/>
  <c r="J25" i="49"/>
  <c r="J24" i="49"/>
  <c r="J23" i="49"/>
  <c r="J22" i="49"/>
  <c r="J21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41" i="48" l="1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42" i="47" l="1"/>
  <c r="J41" i="47"/>
  <c r="J40" i="47"/>
  <c r="J39" i="47"/>
  <c r="J38" i="47"/>
  <c r="J37" i="47"/>
  <c r="J36" i="47"/>
  <c r="J35" i="47"/>
  <c r="J34" i="47"/>
  <c r="J33" i="47"/>
  <c r="J32" i="47"/>
  <c r="J31" i="47"/>
  <c r="J30" i="47"/>
  <c r="J29" i="47"/>
  <c r="J28" i="47"/>
  <c r="J27" i="47"/>
  <c r="J26" i="47"/>
  <c r="J25" i="47"/>
  <c r="J24" i="47"/>
  <c r="J23" i="47"/>
  <c r="J22" i="47"/>
  <c r="J21" i="47"/>
  <c r="J20" i="47"/>
  <c r="J19" i="47"/>
  <c r="J18" i="47"/>
  <c r="J17" i="47"/>
  <c r="J16" i="47"/>
  <c r="J15" i="47"/>
  <c r="J14" i="47"/>
  <c r="J13" i="47"/>
  <c r="J12" i="47"/>
  <c r="J11" i="47"/>
  <c r="J10" i="47"/>
  <c r="J9" i="47"/>
  <c r="J8" i="47"/>
  <c r="J42" i="46" l="1"/>
  <c r="J41" i="46"/>
  <c r="J40" i="46"/>
  <c r="J39" i="46"/>
  <c r="J38" i="46"/>
  <c r="J37" i="46"/>
  <c r="J36" i="46"/>
  <c r="J35" i="46"/>
  <c r="J34" i="46"/>
  <c r="J33" i="46"/>
  <c r="J32" i="46"/>
  <c r="J31" i="46"/>
  <c r="J30" i="46"/>
  <c r="J29" i="46"/>
  <c r="J28" i="46"/>
  <c r="J27" i="46"/>
  <c r="J26" i="46"/>
  <c r="J25" i="46"/>
  <c r="J24" i="46"/>
  <c r="J23" i="46"/>
  <c r="J22" i="46"/>
  <c r="J21" i="46"/>
  <c r="J20" i="46"/>
  <c r="J19" i="46"/>
  <c r="J18" i="46"/>
  <c r="J17" i="46"/>
  <c r="J16" i="46"/>
  <c r="J15" i="46"/>
  <c r="J14" i="46"/>
  <c r="J13" i="46"/>
  <c r="J12" i="46"/>
  <c r="J11" i="46"/>
  <c r="J10" i="46"/>
  <c r="J9" i="46"/>
  <c r="J8" i="46"/>
</calcChain>
</file>

<file path=xl/sharedStrings.xml><?xml version="1.0" encoding="utf-8"?>
<sst xmlns="http://schemas.openxmlformats.org/spreadsheetml/2006/main" count="527" uniqueCount="110">
  <si>
    <t>NO</t>
    <phoneticPr fontId="3" type="noConversion"/>
  </si>
  <si>
    <t>소  속</t>
    <phoneticPr fontId="2" type="noConversion"/>
  </si>
  <si>
    <t>비고</t>
    <phoneticPr fontId="3" type="noConversion"/>
  </si>
  <si>
    <t>성 명</t>
    <phoneticPr fontId="2" type="noConversion"/>
  </si>
  <si>
    <t>입사일</t>
    <phoneticPr fontId="3" type="noConversion"/>
  </si>
  <si>
    <t>어썸리드</t>
  </si>
  <si>
    <t>어썸리드</t>
    <phoneticPr fontId="2" type="noConversion"/>
  </si>
  <si>
    <t>박선영</t>
  </si>
  <si>
    <t>김보원</t>
  </si>
  <si>
    <t>발생
연차</t>
  </si>
  <si>
    <t>■ 기타사항</t>
    <phoneticPr fontId="2" type="noConversion"/>
  </si>
  <si>
    <t>잔여일</t>
    <phoneticPr fontId="3" type="noConversion"/>
  </si>
  <si>
    <t>사용</t>
    <phoneticPr fontId="2" type="noConversion"/>
  </si>
  <si>
    <t>정강섭</t>
  </si>
  <si>
    <t>황나연</t>
    <phoneticPr fontId="2" type="noConversion"/>
  </si>
  <si>
    <t>최미희</t>
    <phoneticPr fontId="2" type="noConversion"/>
  </si>
  <si>
    <t>김준섭</t>
    <phoneticPr fontId="2" type="noConversion"/>
  </si>
  <si>
    <t>이가영</t>
    <phoneticPr fontId="2" type="noConversion"/>
  </si>
  <si>
    <t>김수연</t>
    <phoneticPr fontId="2" type="noConversion"/>
  </si>
  <si>
    <t>르 트롱 칸</t>
    <phoneticPr fontId="2" type="noConversion"/>
  </si>
  <si>
    <t>최산하</t>
    <phoneticPr fontId="2" type="noConversion"/>
  </si>
  <si>
    <t>푸트라 보비 수와라</t>
    <phoneticPr fontId="2" type="noConversion"/>
  </si>
  <si>
    <t>리얀또 아구스</t>
    <phoneticPr fontId="2" type="noConversion"/>
  </si>
  <si>
    <t>권순현</t>
    <phoneticPr fontId="2" type="noConversion"/>
  </si>
  <si>
    <t>푸트라 마드 아디 유다 만달라</t>
    <phoneticPr fontId="2" type="noConversion"/>
  </si>
  <si>
    <t>소산노이 퐁팟</t>
    <phoneticPr fontId="2" type="noConversion"/>
  </si>
  <si>
    <t>부 민 크앙</t>
    <phoneticPr fontId="2" type="noConversion"/>
  </si>
  <si>
    <t>케말</t>
    <phoneticPr fontId="2" type="noConversion"/>
  </si>
  <si>
    <t>리 휘 동</t>
    <phoneticPr fontId="2" type="noConversion"/>
  </si>
  <si>
    <t>팜 수안 퀸</t>
    <phoneticPr fontId="2" type="noConversion"/>
  </si>
  <si>
    <t>알마딘 레노</t>
    <phoneticPr fontId="2" type="noConversion"/>
  </si>
  <si>
    <t>루키 루만시아</t>
    <phoneticPr fontId="2" type="noConversion"/>
  </si>
  <si>
    <t>박용덕</t>
    <phoneticPr fontId="2" type="noConversion"/>
  </si>
  <si>
    <t>머핀 솜판</t>
    <phoneticPr fontId="2" type="noConversion"/>
  </si>
  <si>
    <t>아르디유고 헨드로</t>
    <phoneticPr fontId="2" type="noConversion"/>
  </si>
  <si>
    <t>푸르노모 살라멧</t>
    <phoneticPr fontId="2" type="noConversion"/>
  </si>
  <si>
    <t>조현철</t>
    <phoneticPr fontId="2" type="noConversion"/>
  </si>
  <si>
    <t>분라 몽콜차이</t>
    <phoneticPr fontId="2" type="noConversion"/>
  </si>
  <si>
    <t>리 딘 뷰</t>
    <phoneticPr fontId="2" type="noConversion"/>
  </si>
  <si>
    <t>새텐 마낫</t>
    <phoneticPr fontId="2" type="noConversion"/>
  </si>
  <si>
    <t>리와낙 유니시스 심불란</t>
    <phoneticPr fontId="2" type="noConversion"/>
  </si>
  <si>
    <t>잔잠 암폰</t>
    <phoneticPr fontId="2" type="noConversion"/>
  </si>
  <si>
    <t>폴카토 수왓차이</t>
    <phoneticPr fontId="2" type="noConversion"/>
  </si>
  <si>
    <t>핌사케 나라팁</t>
    <phoneticPr fontId="2" type="noConversion"/>
  </si>
  <si>
    <t>와눌라이 키앙카이</t>
    <phoneticPr fontId="2" type="noConversion"/>
  </si>
  <si>
    <t>위라시 크리타차이</t>
    <phoneticPr fontId="2" type="noConversion"/>
  </si>
  <si>
    <t>&lt; 2025년 1월 연차휴가 사용/잔여 현황 &gt;</t>
    <phoneticPr fontId="3" type="noConversion"/>
  </si>
  <si>
    <t>기준일 : 2025-01-01</t>
    <phoneticPr fontId="2" type="noConversion"/>
  </si>
  <si>
    <t>2025
월차</t>
    <phoneticPr fontId="2" type="noConversion"/>
  </si>
  <si>
    <t>2024
이월월차</t>
    <phoneticPr fontId="2" type="noConversion"/>
  </si>
  <si>
    <t>1년 미만자의 경우 2025년도 연차를 미리 부여해준것임으로 1년미만 근무 후 퇴사시 (-)공제처리 될 수 있음</t>
    <phoneticPr fontId="2" type="noConversion"/>
  </si>
  <si>
    <t>&lt; 2025년 2월 연차휴가 사용/잔여 현황 &gt;</t>
    <phoneticPr fontId="3" type="noConversion"/>
  </si>
  <si>
    <t>기준일 : 2025-02-01</t>
    <phoneticPr fontId="2" type="noConversion"/>
  </si>
  <si>
    <t>NO</t>
    <phoneticPr fontId="3" type="noConversion"/>
  </si>
  <si>
    <t>소  속</t>
    <phoneticPr fontId="2" type="noConversion"/>
  </si>
  <si>
    <t>성 명</t>
    <phoneticPr fontId="2" type="noConversion"/>
  </si>
  <si>
    <t>입사일</t>
    <phoneticPr fontId="3" type="noConversion"/>
  </si>
  <si>
    <t>2025
월차</t>
    <phoneticPr fontId="2" type="noConversion"/>
  </si>
  <si>
    <t>2024
이월월차</t>
    <phoneticPr fontId="2" type="noConversion"/>
  </si>
  <si>
    <t>사용</t>
    <phoneticPr fontId="2" type="noConversion"/>
  </si>
  <si>
    <t>잔여일</t>
    <phoneticPr fontId="3" type="noConversion"/>
  </si>
  <si>
    <t>비고</t>
    <phoneticPr fontId="3" type="noConversion"/>
  </si>
  <si>
    <t>어썸리드</t>
    <phoneticPr fontId="2" type="noConversion"/>
  </si>
  <si>
    <t>어썸리드</t>
    <phoneticPr fontId="2" type="noConversion"/>
  </si>
  <si>
    <t>김수연</t>
    <phoneticPr fontId="2" type="noConversion"/>
  </si>
  <si>
    <t>이가영</t>
    <phoneticPr fontId="2" type="noConversion"/>
  </si>
  <si>
    <t>황나연</t>
    <phoneticPr fontId="2" type="noConversion"/>
  </si>
  <si>
    <t>최미희</t>
    <phoneticPr fontId="2" type="noConversion"/>
  </si>
  <si>
    <t>김준섭</t>
    <phoneticPr fontId="2" type="noConversion"/>
  </si>
  <si>
    <t>르 트롱 칸</t>
    <phoneticPr fontId="2" type="noConversion"/>
  </si>
  <si>
    <t>최산하</t>
    <phoneticPr fontId="2" type="noConversion"/>
  </si>
  <si>
    <t>푸트라 보비 수와라</t>
    <phoneticPr fontId="2" type="noConversion"/>
  </si>
  <si>
    <t>리얀또 아구스</t>
    <phoneticPr fontId="2" type="noConversion"/>
  </si>
  <si>
    <t>권순현</t>
    <phoneticPr fontId="2" type="noConversion"/>
  </si>
  <si>
    <t>푸트라 마드 아디 유다 만달라</t>
    <phoneticPr fontId="2" type="noConversion"/>
  </si>
  <si>
    <t>부 민 크앙</t>
  </si>
  <si>
    <t>케말</t>
  </si>
  <si>
    <t>리 휘 동</t>
  </si>
  <si>
    <t>팜 수안 퀸</t>
  </si>
  <si>
    <t>알마딘 레노</t>
  </si>
  <si>
    <t>루키 루만시아</t>
  </si>
  <si>
    <t>박용덕</t>
  </si>
  <si>
    <t>머핀 솜판</t>
  </si>
  <si>
    <t>아르디유고 헨드로</t>
  </si>
  <si>
    <t>푸르노모 살라멧</t>
  </si>
  <si>
    <t>조현철</t>
  </si>
  <si>
    <t>분라 몽콜차이</t>
  </si>
  <si>
    <t>리 딘 뷰</t>
  </si>
  <si>
    <t>새텐 마낫</t>
  </si>
  <si>
    <t>리와낙 유니시스 심불란</t>
  </si>
  <si>
    <t>잔잠 암폰</t>
  </si>
  <si>
    <t>폴카토 수왓차이</t>
  </si>
  <si>
    <t>핌사케 나라팁</t>
  </si>
  <si>
    <t>와눌라이 키앙카이</t>
  </si>
  <si>
    <t>위라시 크리타차이</t>
  </si>
  <si>
    <t>최남길</t>
    <phoneticPr fontId="2" type="noConversion"/>
  </si>
  <si>
    <t>■ 기타사항</t>
    <phoneticPr fontId="2" type="noConversion"/>
  </si>
  <si>
    <t>1년 미만자의 경우 2025년도 연차를 미리 부여해준것임으로 1년미만 근무 후 퇴사시 (-)공제처리 될 수 있음</t>
    <phoneticPr fontId="2" type="noConversion"/>
  </si>
  <si>
    <t>&lt; 2025년 3월 연차휴가 사용/잔여 현황 &gt;</t>
    <phoneticPr fontId="3" type="noConversion"/>
  </si>
  <si>
    <t>기준일 : 2025-03-01</t>
    <phoneticPr fontId="2" type="noConversion"/>
  </si>
  <si>
    <t>허성재</t>
    <phoneticPr fontId="2" type="noConversion"/>
  </si>
  <si>
    <t>기준일 : 2025-05-01</t>
    <phoneticPr fontId="2" type="noConversion"/>
  </si>
  <si>
    <t>&lt; 2025년 5월 연차휴가 사용/잔여 현황 &gt;</t>
    <phoneticPr fontId="3" type="noConversion"/>
  </si>
  <si>
    <t>&lt; 2025년 6월 연차휴가 사용/잔여 현황 &gt;</t>
    <phoneticPr fontId="3" type="noConversion"/>
  </si>
  <si>
    <t>기준일 : 2025-06-01</t>
    <phoneticPr fontId="2" type="noConversion"/>
  </si>
  <si>
    <t>&lt; 2025년 7월 연차휴가 사용/잔여 현황 &gt;</t>
    <phoneticPr fontId="3" type="noConversion"/>
  </si>
  <si>
    <t>기준일 : 2025-07-01</t>
    <phoneticPr fontId="2" type="noConversion"/>
  </si>
  <si>
    <t>&lt; 2025년 8월 연차휴가 사용/잔여 현황 &gt;</t>
    <phoneticPr fontId="3" type="noConversion"/>
  </si>
  <si>
    <t>기준일 : 2025-12-01</t>
    <phoneticPr fontId="2" type="noConversion"/>
  </si>
  <si>
    <t>테스트 유저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</si>
</sst>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8"/>
      <name val="맑은 고딕"/>
      <family val="2"/>
      <charset val="129"/>
      <scheme val="minor"/>
    </font>
    <font>
      <sz val="8"/>
      <name val="굴림체"/>
      <family val="2"/>
      <charset val="129"/>
    </font>
    <font>
      <sz val="10"/>
      <color indexed="64"/>
      <name val="Arial"/>
      <family val="2"/>
    </font>
    <font>
      <b/>
      <sz val="20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4" fillId="0" borderId="0"/>
  </cellStyleXfs>
  <cellXfs count="45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9" fillId="0" borderId="10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11" fillId="0" borderId="0" xfId="1" applyFont="1" applyAlignment="1">
      <alignment horizontal="left" vertical="center"/>
    </xf>
    <xf numFmtId="0" fontId="9" fillId="0" borderId="13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4" fontId="6" fillId="0" borderId="10" xfId="1" applyNumberFormat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4" fontId="6" fillId="0" borderId="13" xfId="1" applyNumberFormat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5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4" fontId="6" fillId="0" borderId="5" xfId="1" applyNumberFormat="1" applyFont="1" applyBorder="1" applyAlignment="1">
      <alignment horizontal="center" vertical="center"/>
    </xf>
    <xf numFmtId="0" fontId="13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10" fillId="2" borderId="8" xfId="1" applyFont="1" applyFill="1" applyBorder="1" applyAlignment="1">
      <alignment horizontal="center" vertical="center" wrapText="1"/>
    </xf>
    <xf numFmtId="0" fontId="10" fillId="2" borderId="11" xfId="1" applyFont="1" applyFill="1" applyBorder="1" applyAlignment="1">
      <alignment horizontal="center" vertical="center"/>
    </xf>
    <xf numFmtId="0" fontId="10" fillId="2" borderId="9" xfId="1" applyFont="1" applyFill="1" applyBorder="1" applyAlignment="1">
      <alignment horizontal="center" vertical="center" wrapText="1"/>
    </xf>
    <xf numFmtId="0" fontId="10" fillId="2" borderId="12" xfId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13" fillId="0" borderId="7" xfId="1" applyFont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0" fillId="2" borderId="2" xfId="1" applyFont="1" applyFill="1" applyBorder="1" applyAlignment="1">
      <alignment horizontal="center" vertical="center"/>
    </xf>
    <xf numFmtId="0" fontId="10" fillId="2" borderId="8" xfId="1" applyFont="1" applyFill="1" applyBorder="1" applyAlignment="1">
      <alignment horizontal="center" vertical="center"/>
    </xf>
    <xf numFmtId="0" fontId="10" fillId="2" borderId="16" xfId="1" applyFont="1" applyFill="1" applyBorder="1" applyAlignment="1">
      <alignment horizontal="center" vertical="center" wrapText="1"/>
    </xf>
    <xf numFmtId="0" fontId="10" fillId="2" borderId="17" xfId="1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colors>
    <mruColors>
      <color rgb="FF0000CC"/>
      <color rgb="FF00FFCC"/>
      <color rgb="FF9999FF"/>
      <color rgb="FFFF99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812903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68648" y="738467"/>
          <a:ext cx="3812903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1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812903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68648" y="738467"/>
          <a:ext cx="3812903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2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68088" y="739588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3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5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6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7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8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45"/>
  <sheetViews>
    <sheetView showGridLines="0" zoomScale="85" zoomScaleNormal="85" workbookViewId="0">
      <selection activeCell="K30" sqref="K30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46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47</v>
      </c>
      <c r="K5" s="39"/>
    </row>
    <row r="6" spans="2:12" ht="18.75" customHeight="1" x14ac:dyDescent="0.6">
      <c r="B6" s="40" t="s">
        <v>0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12</v>
      </c>
      <c r="J6" s="33" t="s">
        <v>11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/>
      <c r="J8" s="18">
        <f>SUM(F8:H8)-I8</f>
        <v>18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/>
      <c r="J9" s="22">
        <f>SUM(F9:H9)-I9</f>
        <v>17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/>
      <c r="J10" s="18">
        <f t="shared" ref="J10:J12" si="0">SUM(F10:H10)-I10</f>
        <v>17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/>
      <c r="J11" s="18">
        <f t="shared" si="0"/>
        <v>16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/>
      <c r="J12" s="22">
        <f t="shared" si="0"/>
        <v>16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/>
      <c r="J13" s="22">
        <f>SUM(F13:H13)-I13</f>
        <v>15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/>
      <c r="J14" s="22">
        <f t="shared" ref="J14:J16" si="1">SUM(F14:H14)-I14</f>
        <v>15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/>
      <c r="J15" s="22">
        <f t="shared" si="1"/>
        <v>15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/>
      <c r="J16" s="22">
        <f t="shared" si="1"/>
        <v>15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20</v>
      </c>
      <c r="E17" s="21">
        <v>44951</v>
      </c>
      <c r="F17" s="12">
        <v>15</v>
      </c>
      <c r="G17" s="13"/>
      <c r="H17" s="13"/>
      <c r="I17" s="13"/>
      <c r="J17" s="22">
        <f t="shared" ref="J17:J38" si="2">SUM(F17:H17)-I17</f>
        <v>15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/>
      <c r="J18" s="22">
        <f t="shared" si="2"/>
        <v>15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/>
      <c r="J19" s="22">
        <f t="shared" si="2"/>
        <v>15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/>
      <c r="J20" s="22">
        <f t="shared" si="2"/>
        <v>15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/>
      <c r="J21" s="18">
        <f t="shared" si="2"/>
        <v>15</v>
      </c>
      <c r="K21" s="24"/>
    </row>
    <row r="22" spans="2:11" ht="24.95" customHeight="1" x14ac:dyDescent="0.6">
      <c r="B22" s="15">
        <v>15</v>
      </c>
      <c r="C22" s="20" t="s">
        <v>6</v>
      </c>
      <c r="D22" s="3" t="s">
        <v>25</v>
      </c>
      <c r="E22" s="17">
        <v>45076</v>
      </c>
      <c r="F22" s="6">
        <v>15</v>
      </c>
      <c r="G22" s="3"/>
      <c r="H22" s="3"/>
      <c r="I22" s="3"/>
      <c r="J22" s="22">
        <f t="shared" si="2"/>
        <v>15</v>
      </c>
      <c r="K22" s="24"/>
    </row>
    <row r="23" spans="2:11" ht="24.95" customHeight="1" x14ac:dyDescent="0.6">
      <c r="B23" s="15">
        <v>16</v>
      </c>
      <c r="C23" s="20" t="s">
        <v>6</v>
      </c>
      <c r="D23" s="13" t="s">
        <v>26</v>
      </c>
      <c r="E23" s="21">
        <v>45096</v>
      </c>
      <c r="F23" s="12">
        <v>15</v>
      </c>
      <c r="G23" s="13"/>
      <c r="H23" s="13"/>
      <c r="I23" s="13"/>
      <c r="J23" s="22">
        <f t="shared" si="2"/>
        <v>15</v>
      </c>
      <c r="K23" s="23"/>
    </row>
    <row r="24" spans="2:11" ht="24.95" customHeight="1" x14ac:dyDescent="0.6">
      <c r="B24" s="15">
        <v>17</v>
      </c>
      <c r="C24" s="16" t="s">
        <v>6</v>
      </c>
      <c r="D24" s="3" t="s">
        <v>27</v>
      </c>
      <c r="E24" s="17">
        <v>45111</v>
      </c>
      <c r="F24" s="6">
        <v>15</v>
      </c>
      <c r="G24" s="3"/>
      <c r="H24" s="3"/>
      <c r="I24" s="3"/>
      <c r="J24" s="22">
        <f t="shared" si="2"/>
        <v>15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28</v>
      </c>
      <c r="E25" s="17">
        <v>45117</v>
      </c>
      <c r="F25" s="6">
        <v>15</v>
      </c>
      <c r="G25" s="3"/>
      <c r="H25" s="3"/>
      <c r="I25" s="3"/>
      <c r="J25" s="22">
        <f t="shared" si="2"/>
        <v>15</v>
      </c>
      <c r="K25" s="24"/>
    </row>
    <row r="26" spans="2:11" ht="24.95" customHeight="1" x14ac:dyDescent="0.6">
      <c r="B26" s="15">
        <v>19</v>
      </c>
      <c r="C26" s="16" t="s">
        <v>6</v>
      </c>
      <c r="D26" s="3" t="s">
        <v>29</v>
      </c>
      <c r="E26" s="17">
        <v>45117</v>
      </c>
      <c r="F26" s="6">
        <v>15</v>
      </c>
      <c r="G26" s="3"/>
      <c r="H26" s="3"/>
      <c r="I26" s="3"/>
      <c r="J26" s="22">
        <f t="shared" si="2"/>
        <v>15</v>
      </c>
      <c r="K26" s="24"/>
    </row>
    <row r="27" spans="2:11" ht="24.95" customHeight="1" x14ac:dyDescent="0.6">
      <c r="B27" s="15">
        <v>20</v>
      </c>
      <c r="C27" s="16" t="s">
        <v>6</v>
      </c>
      <c r="D27" s="13" t="s">
        <v>30</v>
      </c>
      <c r="E27" s="21">
        <v>45125</v>
      </c>
      <c r="F27" s="12">
        <v>15</v>
      </c>
      <c r="G27" s="13"/>
      <c r="H27" s="13"/>
      <c r="I27" s="13"/>
      <c r="J27" s="22">
        <f t="shared" si="2"/>
        <v>15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31</v>
      </c>
      <c r="E28" s="21">
        <v>45132</v>
      </c>
      <c r="F28" s="12">
        <v>15</v>
      </c>
      <c r="G28" s="13"/>
      <c r="H28" s="13"/>
      <c r="I28" s="13"/>
      <c r="J28" s="22">
        <f t="shared" si="2"/>
        <v>15</v>
      </c>
      <c r="K28" s="23"/>
    </row>
    <row r="29" spans="2:11" ht="24.95" customHeight="1" x14ac:dyDescent="0.6">
      <c r="B29" s="15">
        <v>22</v>
      </c>
      <c r="C29" s="20" t="s">
        <v>6</v>
      </c>
      <c r="D29" s="13" t="s">
        <v>32</v>
      </c>
      <c r="E29" s="21">
        <v>45166</v>
      </c>
      <c r="F29" s="12">
        <v>15</v>
      </c>
      <c r="G29" s="13"/>
      <c r="H29" s="13"/>
      <c r="I29" s="13"/>
      <c r="J29" s="22">
        <f t="shared" si="2"/>
        <v>15</v>
      </c>
      <c r="K29" s="23"/>
    </row>
    <row r="30" spans="2:11" ht="24.95" customHeight="1" x14ac:dyDescent="0.6">
      <c r="B30" s="15">
        <v>23</v>
      </c>
      <c r="C30" s="20" t="s">
        <v>6</v>
      </c>
      <c r="D30" s="3" t="s">
        <v>33</v>
      </c>
      <c r="E30" s="17">
        <v>45176</v>
      </c>
      <c r="F30" s="6">
        <v>15</v>
      </c>
      <c r="G30" s="3"/>
      <c r="H30" s="3"/>
      <c r="I30" s="3"/>
      <c r="J30" s="22">
        <f t="shared" si="2"/>
        <v>15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34</v>
      </c>
      <c r="E31" s="17">
        <v>45195</v>
      </c>
      <c r="F31" s="6">
        <v>15</v>
      </c>
      <c r="G31" s="3"/>
      <c r="H31" s="3"/>
      <c r="I31" s="3"/>
      <c r="J31" s="22">
        <f t="shared" si="2"/>
        <v>15</v>
      </c>
      <c r="K31" s="24"/>
    </row>
    <row r="32" spans="2:11" ht="24.95" customHeight="1" x14ac:dyDescent="0.6">
      <c r="B32" s="15">
        <v>25</v>
      </c>
      <c r="C32" s="20" t="s">
        <v>6</v>
      </c>
      <c r="D32" s="3" t="s">
        <v>35</v>
      </c>
      <c r="E32" s="17">
        <v>45209</v>
      </c>
      <c r="F32" s="6">
        <v>15</v>
      </c>
      <c r="G32" s="3"/>
      <c r="H32" s="3"/>
      <c r="I32" s="3"/>
      <c r="J32" s="22">
        <f>SUM(F32:H32)-I32</f>
        <v>15</v>
      </c>
      <c r="K32" s="24"/>
    </row>
    <row r="33" spans="2:11" ht="24.95" customHeight="1" x14ac:dyDescent="0.6">
      <c r="B33" s="15">
        <v>26</v>
      </c>
      <c r="C33" s="20" t="s">
        <v>6</v>
      </c>
      <c r="D33" s="13" t="s">
        <v>36</v>
      </c>
      <c r="E33" s="21">
        <v>45222</v>
      </c>
      <c r="F33" s="12">
        <v>15</v>
      </c>
      <c r="G33" s="13"/>
      <c r="H33" s="13"/>
      <c r="I33" s="13"/>
      <c r="J33" s="22">
        <f t="shared" si="2"/>
        <v>15</v>
      </c>
      <c r="K33" s="23"/>
    </row>
    <row r="34" spans="2:11" ht="24.95" customHeight="1" x14ac:dyDescent="0.6">
      <c r="B34" s="15">
        <v>27</v>
      </c>
      <c r="C34" s="20" t="s">
        <v>6</v>
      </c>
      <c r="D34" s="3" t="s">
        <v>37</v>
      </c>
      <c r="E34" s="17">
        <v>45376</v>
      </c>
      <c r="F34" s="6">
        <v>11.5</v>
      </c>
      <c r="G34" s="3"/>
      <c r="H34" s="3">
        <v>5</v>
      </c>
      <c r="I34" s="3"/>
      <c r="J34" s="22">
        <f t="shared" si="2"/>
        <v>16.5</v>
      </c>
      <c r="K34" s="24"/>
    </row>
    <row r="35" spans="2:11" ht="24.95" customHeight="1" x14ac:dyDescent="0.6">
      <c r="B35" s="15">
        <v>28</v>
      </c>
      <c r="C35" s="20" t="s">
        <v>6</v>
      </c>
      <c r="D35" s="3" t="s">
        <v>38</v>
      </c>
      <c r="E35" s="17">
        <v>45383</v>
      </c>
      <c r="F35" s="6">
        <v>11</v>
      </c>
      <c r="G35" s="3"/>
      <c r="H35" s="3">
        <v>5</v>
      </c>
      <c r="I35" s="3"/>
      <c r="J35" s="22">
        <f t="shared" si="2"/>
        <v>16</v>
      </c>
      <c r="K35" s="24"/>
    </row>
    <row r="36" spans="2:11" ht="24.95" customHeight="1" x14ac:dyDescent="0.6">
      <c r="B36" s="15">
        <v>29</v>
      </c>
      <c r="C36" s="20" t="s">
        <v>6</v>
      </c>
      <c r="D36" s="3" t="s">
        <v>39</v>
      </c>
      <c r="E36" s="17">
        <v>45390</v>
      </c>
      <c r="F36" s="6">
        <v>11</v>
      </c>
      <c r="G36" s="3"/>
      <c r="H36" s="3">
        <v>1</v>
      </c>
      <c r="I36" s="3"/>
      <c r="J36" s="22">
        <f t="shared" si="2"/>
        <v>12</v>
      </c>
      <c r="K36" s="24"/>
    </row>
    <row r="37" spans="2:11" ht="24.95" customHeight="1" x14ac:dyDescent="0.6">
      <c r="B37" s="15">
        <v>30</v>
      </c>
      <c r="C37" s="20" t="s">
        <v>6</v>
      </c>
      <c r="D37" s="32" t="s">
        <v>40</v>
      </c>
      <c r="E37" s="21">
        <v>45411</v>
      </c>
      <c r="F37" s="12">
        <v>10</v>
      </c>
      <c r="G37" s="13"/>
      <c r="H37" s="13">
        <v>5</v>
      </c>
      <c r="I37" s="13"/>
      <c r="J37" s="22">
        <f t="shared" si="2"/>
        <v>15</v>
      </c>
      <c r="K37" s="23"/>
    </row>
    <row r="38" spans="2:11" ht="24.95" customHeight="1" x14ac:dyDescent="0.6">
      <c r="B38" s="15">
        <v>31</v>
      </c>
      <c r="C38" s="20" t="s">
        <v>6</v>
      </c>
      <c r="D38" s="32" t="s">
        <v>41</v>
      </c>
      <c r="E38" s="21">
        <v>45460</v>
      </c>
      <c r="F38" s="12">
        <v>8</v>
      </c>
      <c r="G38" s="13"/>
      <c r="H38" s="13">
        <v>4</v>
      </c>
      <c r="I38" s="13"/>
      <c r="J38" s="22">
        <f t="shared" si="2"/>
        <v>12</v>
      </c>
      <c r="K38" s="23"/>
    </row>
    <row r="39" spans="2:11" ht="24.95" customHeight="1" x14ac:dyDescent="0.6">
      <c r="B39" s="15">
        <v>32</v>
      </c>
      <c r="C39" s="16" t="s">
        <v>6</v>
      </c>
      <c r="D39" s="30" t="s">
        <v>42</v>
      </c>
      <c r="E39" s="17">
        <v>45488</v>
      </c>
      <c r="F39" s="6">
        <v>7</v>
      </c>
      <c r="G39" s="3"/>
      <c r="H39" s="3">
        <v>4</v>
      </c>
      <c r="I39" s="3"/>
      <c r="J39" s="18">
        <f t="shared" ref="J39:J42" si="3">SUM(F39:H39)-I39</f>
        <v>11</v>
      </c>
      <c r="K39" s="24"/>
    </row>
    <row r="40" spans="2:11" ht="24.95" customHeight="1" x14ac:dyDescent="0.6">
      <c r="B40" s="15">
        <v>33</v>
      </c>
      <c r="C40" s="16" t="s">
        <v>6</v>
      </c>
      <c r="D40" s="32" t="s">
        <v>43</v>
      </c>
      <c r="E40" s="21">
        <v>45495</v>
      </c>
      <c r="F40" s="12">
        <v>6.5</v>
      </c>
      <c r="G40" s="13"/>
      <c r="H40" s="13">
        <v>5</v>
      </c>
      <c r="I40" s="13"/>
      <c r="J40" s="18">
        <f t="shared" si="3"/>
        <v>11.5</v>
      </c>
      <c r="K40" s="23"/>
    </row>
    <row r="41" spans="2:11" ht="24.95" customHeight="1" x14ac:dyDescent="0.6">
      <c r="B41" s="15">
        <v>34</v>
      </c>
      <c r="C41" s="16" t="s">
        <v>6</v>
      </c>
      <c r="D41" s="32" t="s">
        <v>44</v>
      </c>
      <c r="E41" s="21">
        <v>45516</v>
      </c>
      <c r="F41" s="12">
        <v>5.5</v>
      </c>
      <c r="G41" s="13"/>
      <c r="H41" s="13">
        <v>3.5</v>
      </c>
      <c r="I41" s="13"/>
      <c r="J41" s="18">
        <f t="shared" si="3"/>
        <v>9</v>
      </c>
      <c r="K41" s="23"/>
    </row>
    <row r="42" spans="2:11" ht="24.95" customHeight="1" thickBot="1" x14ac:dyDescent="0.65">
      <c r="B42" s="25">
        <v>35</v>
      </c>
      <c r="C42" s="26" t="s">
        <v>6</v>
      </c>
      <c r="D42" s="31" t="s">
        <v>45</v>
      </c>
      <c r="E42" s="27">
        <v>45516</v>
      </c>
      <c r="F42" s="7">
        <v>5.5</v>
      </c>
      <c r="G42" s="8"/>
      <c r="H42" s="8">
        <v>4</v>
      </c>
      <c r="I42" s="8"/>
      <c r="J42" s="28">
        <f t="shared" si="3"/>
        <v>9.5</v>
      </c>
      <c r="K42" s="29"/>
    </row>
    <row r="43" spans="2:11" ht="19.149999999999999" x14ac:dyDescent="0.6">
      <c r="B43" s="10" t="s">
        <v>10</v>
      </c>
    </row>
    <row r="44" spans="2:11" x14ac:dyDescent="0.6">
      <c r="B44" s="11" t="s">
        <v>50</v>
      </c>
    </row>
    <row r="45" spans="2:11" x14ac:dyDescent="0.6">
      <c r="B45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45"/>
  <sheetViews>
    <sheetView showGridLines="0" zoomScale="85" zoomScaleNormal="85" workbookViewId="0">
      <selection activeCell="R9" sqref="R9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51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52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56</v>
      </c>
      <c r="F6" s="33" t="s">
        <v>9</v>
      </c>
      <c r="G6" s="43" t="s">
        <v>57</v>
      </c>
      <c r="H6" s="33" t="s">
        <v>58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1.5</v>
      </c>
      <c r="J9" s="22">
        <f>SUM(F9:H9)-I9</f>
        <v>15.5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1.5</v>
      </c>
      <c r="J10" s="18">
        <f t="shared" ref="J10:J12" si="0">SUM(F10:H10)-I10</f>
        <v>15.5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1</v>
      </c>
      <c r="J11" s="18">
        <f t="shared" si="0"/>
        <v>15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65</v>
      </c>
      <c r="E12" s="21">
        <v>44383</v>
      </c>
      <c r="F12" s="12">
        <v>16</v>
      </c>
      <c r="G12" s="13"/>
      <c r="H12" s="13"/>
      <c r="I12" s="13">
        <v>1</v>
      </c>
      <c r="J12" s="22">
        <f t="shared" si="0"/>
        <v>15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66</v>
      </c>
      <c r="E13" s="21">
        <v>44622</v>
      </c>
      <c r="F13" s="12">
        <v>15</v>
      </c>
      <c r="G13" s="13"/>
      <c r="H13" s="13"/>
      <c r="I13" s="13">
        <v>1</v>
      </c>
      <c r="J13" s="22">
        <f>SUM(F13:H13)-I13</f>
        <v>14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1</v>
      </c>
      <c r="J14" s="22">
        <f t="shared" ref="J14:J16" si="1">SUM(F14:H14)-I14</f>
        <v>14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68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69</v>
      </c>
      <c r="E16" s="21">
        <v>44827</v>
      </c>
      <c r="F16" s="12">
        <v>15</v>
      </c>
      <c r="G16" s="13"/>
      <c r="H16" s="13"/>
      <c r="I16" s="13">
        <v>1</v>
      </c>
      <c r="J16" s="22">
        <f t="shared" si="1"/>
        <v>14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2.5</v>
      </c>
      <c r="J17" s="22">
        <f t="shared" ref="J17:J42" si="2">SUM(F17:H17)-I17</f>
        <v>12.5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1.5</v>
      </c>
      <c r="J18" s="22">
        <f t="shared" si="2"/>
        <v>13.5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72</v>
      </c>
      <c r="E19" s="17">
        <v>44979</v>
      </c>
      <c r="F19" s="6">
        <v>15</v>
      </c>
      <c r="G19" s="3"/>
      <c r="H19" s="3"/>
      <c r="I19" s="3">
        <v>8</v>
      </c>
      <c r="J19" s="22">
        <f t="shared" si="2"/>
        <v>7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1</v>
      </c>
      <c r="J20" s="22">
        <f t="shared" si="2"/>
        <v>14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74</v>
      </c>
      <c r="E21" s="17">
        <v>45061</v>
      </c>
      <c r="F21" s="6">
        <v>15</v>
      </c>
      <c r="G21" s="3"/>
      <c r="H21" s="3"/>
      <c r="I21" s="3">
        <v>1</v>
      </c>
      <c r="J21" s="22">
        <f t="shared" si="2"/>
        <v>14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3</v>
      </c>
      <c r="J22" s="22">
        <f t="shared" si="2"/>
        <v>12</v>
      </c>
      <c r="K22" s="24"/>
    </row>
    <row r="23" spans="2:11" ht="24.95" customHeight="1" x14ac:dyDescent="0.6">
      <c r="B23" s="15">
        <v>16</v>
      </c>
      <c r="C23" s="20" t="s">
        <v>62</v>
      </c>
      <c r="D23" s="13" t="s">
        <v>76</v>
      </c>
      <c r="E23" s="21">
        <v>45111</v>
      </c>
      <c r="F23" s="12">
        <v>15</v>
      </c>
      <c r="G23" s="13"/>
      <c r="H23" s="13"/>
      <c r="I23" s="13">
        <v>1</v>
      </c>
      <c r="J23" s="22">
        <f t="shared" si="2"/>
        <v>14</v>
      </c>
      <c r="K23" s="23"/>
    </row>
    <row r="24" spans="2:11" ht="24.95" customHeight="1" x14ac:dyDescent="0.6">
      <c r="B24" s="15">
        <v>17</v>
      </c>
      <c r="C24" s="16" t="s">
        <v>63</v>
      </c>
      <c r="D24" s="3" t="s">
        <v>77</v>
      </c>
      <c r="E24" s="17">
        <v>45117</v>
      </c>
      <c r="F24" s="6">
        <v>15</v>
      </c>
      <c r="G24" s="3"/>
      <c r="H24" s="3"/>
      <c r="I24" s="3">
        <v>3</v>
      </c>
      <c r="J24" s="22">
        <f t="shared" si="2"/>
        <v>12</v>
      </c>
      <c r="K24" s="24"/>
    </row>
    <row r="25" spans="2:11" ht="24.95" customHeight="1" x14ac:dyDescent="0.6">
      <c r="B25" s="15">
        <v>18</v>
      </c>
      <c r="C25" s="16" t="s">
        <v>62</v>
      </c>
      <c r="D25" s="3" t="s">
        <v>78</v>
      </c>
      <c r="E25" s="17">
        <v>45117</v>
      </c>
      <c r="F25" s="6">
        <v>15</v>
      </c>
      <c r="G25" s="3"/>
      <c r="H25" s="3"/>
      <c r="I25" s="3">
        <v>6.5</v>
      </c>
      <c r="J25" s="22">
        <f t="shared" si="2"/>
        <v>8.5</v>
      </c>
      <c r="K25" s="24"/>
    </row>
    <row r="26" spans="2:11" ht="24.95" customHeight="1" x14ac:dyDescent="0.6">
      <c r="B26" s="15">
        <v>19</v>
      </c>
      <c r="C26" s="16" t="s">
        <v>63</v>
      </c>
      <c r="D26" s="3" t="s">
        <v>79</v>
      </c>
      <c r="E26" s="17">
        <v>45125</v>
      </c>
      <c r="F26" s="6">
        <v>15</v>
      </c>
      <c r="G26" s="3"/>
      <c r="H26" s="3"/>
      <c r="I26" s="3">
        <v>1</v>
      </c>
      <c r="J26" s="22">
        <f t="shared" si="2"/>
        <v>14</v>
      </c>
      <c r="K26" s="24"/>
    </row>
    <row r="27" spans="2:11" ht="24.95" customHeight="1" x14ac:dyDescent="0.6">
      <c r="B27" s="15">
        <v>20</v>
      </c>
      <c r="C27" s="16" t="s">
        <v>62</v>
      </c>
      <c r="D27" s="13" t="s">
        <v>80</v>
      </c>
      <c r="E27" s="21">
        <v>45132</v>
      </c>
      <c r="F27" s="12">
        <v>15</v>
      </c>
      <c r="G27" s="13"/>
      <c r="H27" s="13"/>
      <c r="I27" s="13">
        <v>1</v>
      </c>
      <c r="J27" s="22">
        <f t="shared" si="2"/>
        <v>14</v>
      </c>
      <c r="K27" s="23"/>
    </row>
    <row r="28" spans="2:11" ht="24.95" customHeight="1" x14ac:dyDescent="0.6">
      <c r="B28" s="15">
        <v>21</v>
      </c>
      <c r="C28" s="20" t="s">
        <v>63</v>
      </c>
      <c r="D28" s="13" t="s">
        <v>81</v>
      </c>
      <c r="E28" s="21">
        <v>45166</v>
      </c>
      <c r="F28" s="12">
        <v>15</v>
      </c>
      <c r="G28" s="13"/>
      <c r="H28" s="13"/>
      <c r="I28" s="13">
        <v>1</v>
      </c>
      <c r="J28" s="22">
        <f t="shared" si="2"/>
        <v>14</v>
      </c>
      <c r="K28" s="23"/>
    </row>
    <row r="29" spans="2:11" ht="24.95" customHeight="1" x14ac:dyDescent="0.6">
      <c r="B29" s="15">
        <v>22</v>
      </c>
      <c r="C29" s="20" t="s">
        <v>62</v>
      </c>
      <c r="D29" s="13" t="s">
        <v>82</v>
      </c>
      <c r="E29" s="21">
        <v>45176</v>
      </c>
      <c r="F29" s="12">
        <v>15</v>
      </c>
      <c r="G29" s="13"/>
      <c r="H29" s="13"/>
      <c r="I29" s="13">
        <v>1</v>
      </c>
      <c r="J29" s="22">
        <f t="shared" si="2"/>
        <v>14</v>
      </c>
      <c r="K29" s="23"/>
    </row>
    <row r="30" spans="2:11" ht="24.95" customHeight="1" x14ac:dyDescent="0.6">
      <c r="B30" s="15">
        <v>23</v>
      </c>
      <c r="C30" s="20" t="s">
        <v>62</v>
      </c>
      <c r="D30" s="3" t="s">
        <v>83</v>
      </c>
      <c r="E30" s="17">
        <v>45195</v>
      </c>
      <c r="F30" s="6">
        <v>15</v>
      </c>
      <c r="G30" s="3"/>
      <c r="H30" s="3"/>
      <c r="I30" s="3">
        <v>1</v>
      </c>
      <c r="J30" s="22">
        <f t="shared" si="2"/>
        <v>14</v>
      </c>
      <c r="K30" s="24"/>
    </row>
    <row r="31" spans="2:11" ht="24.95" customHeight="1" x14ac:dyDescent="0.6">
      <c r="B31" s="15">
        <v>24</v>
      </c>
      <c r="C31" s="20" t="s">
        <v>63</v>
      </c>
      <c r="D31" s="3" t="s">
        <v>84</v>
      </c>
      <c r="E31" s="17">
        <v>45209</v>
      </c>
      <c r="F31" s="6">
        <v>15</v>
      </c>
      <c r="G31" s="3"/>
      <c r="H31" s="3"/>
      <c r="I31" s="3">
        <v>1</v>
      </c>
      <c r="J31" s="22">
        <f t="shared" si="2"/>
        <v>14</v>
      </c>
      <c r="K31" s="24"/>
    </row>
    <row r="32" spans="2:11" ht="24.95" customHeight="1" x14ac:dyDescent="0.6">
      <c r="B32" s="15">
        <v>25</v>
      </c>
      <c r="C32" s="20" t="s">
        <v>62</v>
      </c>
      <c r="D32" s="3" t="s">
        <v>85</v>
      </c>
      <c r="E32" s="17">
        <v>45222</v>
      </c>
      <c r="F32" s="6">
        <v>15</v>
      </c>
      <c r="G32" s="3"/>
      <c r="H32" s="3"/>
      <c r="I32" s="3">
        <v>2.5</v>
      </c>
      <c r="J32" s="22">
        <f t="shared" si="2"/>
        <v>12.5</v>
      </c>
      <c r="K32" s="24"/>
    </row>
    <row r="33" spans="2:11" ht="24.95" customHeight="1" x14ac:dyDescent="0.6">
      <c r="B33" s="15">
        <v>26</v>
      </c>
      <c r="C33" s="20" t="s">
        <v>62</v>
      </c>
      <c r="D33" s="13" t="s">
        <v>86</v>
      </c>
      <c r="E33" s="21">
        <v>45376</v>
      </c>
      <c r="F33" s="12">
        <v>11.5</v>
      </c>
      <c r="G33" s="13">
        <v>1</v>
      </c>
      <c r="H33" s="13">
        <v>5</v>
      </c>
      <c r="I33" s="13">
        <v>1</v>
      </c>
      <c r="J33" s="22">
        <f t="shared" si="2"/>
        <v>16.5</v>
      </c>
      <c r="K33" s="23"/>
    </row>
    <row r="34" spans="2:11" ht="24.95" customHeight="1" x14ac:dyDescent="0.6">
      <c r="B34" s="15">
        <v>27</v>
      </c>
      <c r="C34" s="20" t="s">
        <v>62</v>
      </c>
      <c r="D34" s="3" t="s">
        <v>87</v>
      </c>
      <c r="E34" s="17">
        <v>45383</v>
      </c>
      <c r="F34" s="6">
        <v>11</v>
      </c>
      <c r="G34" s="3">
        <v>1</v>
      </c>
      <c r="H34" s="3">
        <v>5</v>
      </c>
      <c r="I34" s="3">
        <v>1</v>
      </c>
      <c r="J34" s="22">
        <f t="shared" si="2"/>
        <v>16</v>
      </c>
      <c r="K34" s="24"/>
    </row>
    <row r="35" spans="2:11" ht="24.95" customHeight="1" x14ac:dyDescent="0.6">
      <c r="B35" s="15">
        <v>28</v>
      </c>
      <c r="C35" s="20" t="s">
        <v>63</v>
      </c>
      <c r="D35" s="3" t="s">
        <v>88</v>
      </c>
      <c r="E35" s="17">
        <v>45390</v>
      </c>
      <c r="F35" s="6">
        <v>11</v>
      </c>
      <c r="G35" s="3">
        <v>1</v>
      </c>
      <c r="H35" s="3">
        <v>1</v>
      </c>
      <c r="I35" s="3">
        <v>6.5</v>
      </c>
      <c r="J35" s="22">
        <f t="shared" si="2"/>
        <v>6.5</v>
      </c>
      <c r="K35" s="24"/>
    </row>
    <row r="36" spans="2:11" ht="24.95" customHeight="1" x14ac:dyDescent="0.6">
      <c r="B36" s="15">
        <v>29</v>
      </c>
      <c r="C36" s="20" t="s">
        <v>63</v>
      </c>
      <c r="D36" s="3" t="s">
        <v>89</v>
      </c>
      <c r="E36" s="17">
        <v>45411</v>
      </c>
      <c r="F36" s="6">
        <v>10</v>
      </c>
      <c r="G36" s="3">
        <v>1</v>
      </c>
      <c r="H36" s="3">
        <v>5</v>
      </c>
      <c r="I36" s="3">
        <v>1</v>
      </c>
      <c r="J36" s="22">
        <f t="shared" si="2"/>
        <v>15</v>
      </c>
      <c r="K36" s="24"/>
    </row>
    <row r="37" spans="2:11" ht="24.95" customHeight="1" x14ac:dyDescent="0.6">
      <c r="B37" s="15">
        <v>30</v>
      </c>
      <c r="C37" s="20" t="s">
        <v>62</v>
      </c>
      <c r="D37" s="32" t="s">
        <v>90</v>
      </c>
      <c r="E37" s="21">
        <v>45460</v>
      </c>
      <c r="F37" s="12">
        <v>8</v>
      </c>
      <c r="G37" s="13">
        <v>1</v>
      </c>
      <c r="H37" s="13">
        <v>4</v>
      </c>
      <c r="I37" s="13">
        <v>1</v>
      </c>
      <c r="J37" s="22">
        <f t="shared" si="2"/>
        <v>12</v>
      </c>
      <c r="K37" s="23"/>
    </row>
    <row r="38" spans="2:11" ht="24.95" customHeight="1" x14ac:dyDescent="0.6">
      <c r="B38" s="15">
        <v>31</v>
      </c>
      <c r="C38" s="20" t="s">
        <v>63</v>
      </c>
      <c r="D38" s="32" t="s">
        <v>91</v>
      </c>
      <c r="E38" s="21">
        <v>45488</v>
      </c>
      <c r="F38" s="12">
        <v>7</v>
      </c>
      <c r="G38" s="13">
        <v>1</v>
      </c>
      <c r="H38" s="13">
        <v>4</v>
      </c>
      <c r="I38" s="13">
        <v>2</v>
      </c>
      <c r="J38" s="22">
        <f t="shared" si="2"/>
        <v>10</v>
      </c>
      <c r="K38" s="23"/>
    </row>
    <row r="39" spans="2:11" ht="24.95" customHeight="1" x14ac:dyDescent="0.6">
      <c r="B39" s="15">
        <v>32</v>
      </c>
      <c r="C39" s="16" t="s">
        <v>63</v>
      </c>
      <c r="D39" s="30" t="s">
        <v>92</v>
      </c>
      <c r="E39" s="17">
        <v>45495</v>
      </c>
      <c r="F39" s="6">
        <v>6.5</v>
      </c>
      <c r="G39" s="3">
        <v>1</v>
      </c>
      <c r="H39" s="3">
        <v>5</v>
      </c>
      <c r="I39" s="3">
        <v>1</v>
      </c>
      <c r="J39" s="22">
        <f t="shared" si="2"/>
        <v>11.5</v>
      </c>
      <c r="K39" s="24"/>
    </row>
    <row r="40" spans="2:11" ht="24.95" customHeight="1" x14ac:dyDescent="0.6">
      <c r="B40" s="15">
        <v>33</v>
      </c>
      <c r="C40" s="16" t="s">
        <v>62</v>
      </c>
      <c r="D40" s="32" t="s">
        <v>93</v>
      </c>
      <c r="E40" s="21">
        <v>45516</v>
      </c>
      <c r="F40" s="12">
        <v>5.5</v>
      </c>
      <c r="G40" s="13">
        <v>1</v>
      </c>
      <c r="H40" s="13">
        <v>3.5</v>
      </c>
      <c r="I40" s="13">
        <v>1</v>
      </c>
      <c r="J40" s="22">
        <f t="shared" si="2"/>
        <v>9</v>
      </c>
      <c r="K40" s="23"/>
    </row>
    <row r="41" spans="2:11" ht="24.95" customHeight="1" x14ac:dyDescent="0.6">
      <c r="B41" s="15">
        <v>34</v>
      </c>
      <c r="C41" s="16" t="s">
        <v>62</v>
      </c>
      <c r="D41" s="32" t="s">
        <v>94</v>
      </c>
      <c r="E41" s="21">
        <v>45516</v>
      </c>
      <c r="F41" s="12">
        <v>5.5</v>
      </c>
      <c r="G41" s="13">
        <v>1</v>
      </c>
      <c r="H41" s="13">
        <v>4</v>
      </c>
      <c r="I41" s="13">
        <v>1</v>
      </c>
      <c r="J41" s="22">
        <f t="shared" si="2"/>
        <v>9.5</v>
      </c>
      <c r="K41" s="23"/>
    </row>
    <row r="42" spans="2:11" ht="24.95" customHeight="1" thickBot="1" x14ac:dyDescent="0.65">
      <c r="B42" s="25">
        <v>35</v>
      </c>
      <c r="C42" s="26" t="s">
        <v>62</v>
      </c>
      <c r="D42" s="31" t="s">
        <v>95</v>
      </c>
      <c r="E42" s="27">
        <v>45659</v>
      </c>
      <c r="F42" s="7"/>
      <c r="G42" s="8">
        <v>1</v>
      </c>
      <c r="H42" s="8"/>
      <c r="I42" s="8">
        <v>0</v>
      </c>
      <c r="J42" s="28">
        <f t="shared" si="2"/>
        <v>1</v>
      </c>
      <c r="K42" s="29"/>
    </row>
    <row r="43" spans="2:11" ht="19.149999999999999" x14ac:dyDescent="0.6">
      <c r="B43" s="10" t="s">
        <v>96</v>
      </c>
    </row>
    <row r="44" spans="2:11" x14ac:dyDescent="0.6">
      <c r="B44" s="11" t="s">
        <v>97</v>
      </c>
    </row>
    <row r="45" spans="2:11" x14ac:dyDescent="0.6">
      <c r="B45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44"/>
  <sheetViews>
    <sheetView showGridLines="0" zoomScale="85" zoomScaleNormal="85" workbookViewId="0">
      <selection activeCell="P36" sqref="P3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98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99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4</v>
      </c>
      <c r="F6" s="33" t="s">
        <v>9</v>
      </c>
      <c r="G6" s="43" t="s">
        <v>57</v>
      </c>
      <c r="H6" s="33" t="s">
        <v>49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2</v>
      </c>
      <c r="J9" s="22">
        <f>SUM(F9:H9)-I9</f>
        <v>15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2</v>
      </c>
      <c r="J10" s="18">
        <f t="shared" ref="J10:J12" si="0">SUM(F10:H10)-I10</f>
        <v>15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2</v>
      </c>
      <c r="J11" s="18">
        <f t="shared" si="0"/>
        <v>14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17</v>
      </c>
      <c r="E12" s="21">
        <v>44383</v>
      </c>
      <c r="F12" s="12">
        <v>16</v>
      </c>
      <c r="G12" s="13"/>
      <c r="H12" s="13"/>
      <c r="I12" s="13">
        <v>1.5</v>
      </c>
      <c r="J12" s="22">
        <f t="shared" si="0"/>
        <v>14.5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14</v>
      </c>
      <c r="E13" s="21">
        <v>44622</v>
      </c>
      <c r="F13" s="12">
        <v>15</v>
      </c>
      <c r="G13" s="13"/>
      <c r="H13" s="13"/>
      <c r="I13" s="13">
        <v>1.5</v>
      </c>
      <c r="J13" s="22">
        <f>SUM(F13:H13)-I13</f>
        <v>13.5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2</v>
      </c>
      <c r="J14" s="22">
        <f t="shared" ref="J14:J16" si="1">SUM(F14:H14)-I14</f>
        <v>13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16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19</v>
      </c>
      <c r="E16" s="21">
        <v>44827</v>
      </c>
      <c r="F16" s="12">
        <v>15</v>
      </c>
      <c r="G16" s="13"/>
      <c r="H16" s="13"/>
      <c r="I16" s="13">
        <v>1</v>
      </c>
      <c r="J16" s="22">
        <f t="shared" si="1"/>
        <v>14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3.5</v>
      </c>
      <c r="J17" s="22">
        <f t="shared" ref="J17:J41" si="2">SUM(F17:H17)-I17</f>
        <v>11.5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2.5</v>
      </c>
      <c r="J18" s="22">
        <f t="shared" si="2"/>
        <v>12.5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22</v>
      </c>
      <c r="E19" s="17">
        <v>44979</v>
      </c>
      <c r="F19" s="6">
        <v>15</v>
      </c>
      <c r="G19" s="3"/>
      <c r="H19" s="3"/>
      <c r="I19" s="3">
        <v>8</v>
      </c>
      <c r="J19" s="22">
        <f t="shared" si="2"/>
        <v>7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1</v>
      </c>
      <c r="J20" s="22">
        <f t="shared" si="2"/>
        <v>14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24</v>
      </c>
      <c r="E21" s="17">
        <v>45061</v>
      </c>
      <c r="F21" s="6">
        <v>15</v>
      </c>
      <c r="G21" s="3"/>
      <c r="H21" s="3"/>
      <c r="I21" s="3">
        <v>1</v>
      </c>
      <c r="J21" s="22">
        <f t="shared" si="2"/>
        <v>14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8</v>
      </c>
      <c r="J22" s="22">
        <f t="shared" si="2"/>
        <v>7</v>
      </c>
      <c r="K22" s="24"/>
    </row>
    <row r="23" spans="2:11" ht="24.95" customHeight="1" x14ac:dyDescent="0.6">
      <c r="B23" s="15">
        <v>16</v>
      </c>
      <c r="C23" s="16" t="s">
        <v>63</v>
      </c>
      <c r="D23" s="3" t="s">
        <v>77</v>
      </c>
      <c r="E23" s="17">
        <v>45117</v>
      </c>
      <c r="F23" s="6">
        <v>15</v>
      </c>
      <c r="G23" s="3"/>
      <c r="H23" s="3"/>
      <c r="I23" s="3">
        <v>8</v>
      </c>
      <c r="J23" s="22">
        <f t="shared" si="2"/>
        <v>7</v>
      </c>
      <c r="K23" s="24"/>
    </row>
    <row r="24" spans="2:11" ht="24.95" customHeight="1" x14ac:dyDescent="0.6">
      <c r="B24" s="15">
        <v>17</v>
      </c>
      <c r="C24" s="16" t="s">
        <v>62</v>
      </c>
      <c r="D24" s="3" t="s">
        <v>78</v>
      </c>
      <c r="E24" s="17">
        <v>45117</v>
      </c>
      <c r="F24" s="6">
        <v>15</v>
      </c>
      <c r="G24" s="3"/>
      <c r="H24" s="3"/>
      <c r="I24" s="3">
        <v>11.5</v>
      </c>
      <c r="J24" s="22">
        <f t="shared" si="2"/>
        <v>3.5</v>
      </c>
      <c r="K24" s="24"/>
    </row>
    <row r="25" spans="2:11" ht="24.95" customHeight="1" x14ac:dyDescent="0.6">
      <c r="B25" s="15">
        <v>18</v>
      </c>
      <c r="C25" s="16" t="s">
        <v>63</v>
      </c>
      <c r="D25" s="3" t="s">
        <v>79</v>
      </c>
      <c r="E25" s="17">
        <v>45125</v>
      </c>
      <c r="F25" s="6">
        <v>15</v>
      </c>
      <c r="G25" s="3"/>
      <c r="H25" s="3"/>
      <c r="I25" s="3">
        <v>2</v>
      </c>
      <c r="J25" s="22">
        <f t="shared" si="2"/>
        <v>13</v>
      </c>
      <c r="K25" s="24"/>
    </row>
    <row r="26" spans="2:11" ht="24.95" customHeight="1" x14ac:dyDescent="0.6">
      <c r="B26" s="15">
        <v>19</v>
      </c>
      <c r="C26" s="16" t="s">
        <v>62</v>
      </c>
      <c r="D26" s="13" t="s">
        <v>80</v>
      </c>
      <c r="E26" s="21">
        <v>45132</v>
      </c>
      <c r="F26" s="12">
        <v>15</v>
      </c>
      <c r="G26" s="13"/>
      <c r="H26" s="13"/>
      <c r="I26" s="13">
        <v>2</v>
      </c>
      <c r="J26" s="22">
        <f t="shared" si="2"/>
        <v>13</v>
      </c>
      <c r="K26" s="23"/>
    </row>
    <row r="27" spans="2:11" ht="24.95" customHeight="1" x14ac:dyDescent="0.6">
      <c r="B27" s="15">
        <v>20</v>
      </c>
      <c r="C27" s="20" t="s">
        <v>63</v>
      </c>
      <c r="D27" s="13" t="s">
        <v>81</v>
      </c>
      <c r="E27" s="21">
        <v>45166</v>
      </c>
      <c r="F27" s="12">
        <v>15</v>
      </c>
      <c r="G27" s="13"/>
      <c r="H27" s="13"/>
      <c r="I27" s="13">
        <v>1</v>
      </c>
      <c r="J27" s="22">
        <f t="shared" si="2"/>
        <v>14</v>
      </c>
      <c r="K27" s="23"/>
    </row>
    <row r="28" spans="2:11" ht="24.95" customHeight="1" x14ac:dyDescent="0.6">
      <c r="B28" s="15">
        <v>21</v>
      </c>
      <c r="C28" s="20" t="s">
        <v>62</v>
      </c>
      <c r="D28" s="13" t="s">
        <v>82</v>
      </c>
      <c r="E28" s="21">
        <v>45176</v>
      </c>
      <c r="F28" s="12">
        <v>15</v>
      </c>
      <c r="G28" s="13"/>
      <c r="H28" s="13"/>
      <c r="I28" s="13">
        <v>1</v>
      </c>
      <c r="J28" s="22">
        <f t="shared" si="2"/>
        <v>14</v>
      </c>
      <c r="K28" s="23"/>
    </row>
    <row r="29" spans="2:11" ht="24.95" customHeight="1" x14ac:dyDescent="0.6">
      <c r="B29" s="15">
        <v>22</v>
      </c>
      <c r="C29" s="20" t="s">
        <v>62</v>
      </c>
      <c r="D29" s="3" t="s">
        <v>83</v>
      </c>
      <c r="E29" s="17">
        <v>45195</v>
      </c>
      <c r="F29" s="6">
        <v>15</v>
      </c>
      <c r="G29" s="3"/>
      <c r="H29" s="3"/>
      <c r="I29" s="3">
        <v>1</v>
      </c>
      <c r="J29" s="22">
        <f t="shared" si="2"/>
        <v>14</v>
      </c>
      <c r="K29" s="24"/>
    </row>
    <row r="30" spans="2:11" ht="24.95" customHeight="1" x14ac:dyDescent="0.6">
      <c r="B30" s="15">
        <v>23</v>
      </c>
      <c r="C30" s="20" t="s">
        <v>63</v>
      </c>
      <c r="D30" s="3" t="s">
        <v>84</v>
      </c>
      <c r="E30" s="17">
        <v>45209</v>
      </c>
      <c r="F30" s="6">
        <v>15</v>
      </c>
      <c r="G30" s="3"/>
      <c r="H30" s="3"/>
      <c r="I30" s="3">
        <v>2</v>
      </c>
      <c r="J30" s="22">
        <f t="shared" si="2"/>
        <v>13</v>
      </c>
      <c r="K30" s="24"/>
    </row>
    <row r="31" spans="2:11" ht="24.95" customHeight="1" x14ac:dyDescent="0.6">
      <c r="B31" s="15">
        <v>24</v>
      </c>
      <c r="C31" s="20" t="s">
        <v>62</v>
      </c>
      <c r="D31" s="3" t="s">
        <v>85</v>
      </c>
      <c r="E31" s="17">
        <v>45222</v>
      </c>
      <c r="F31" s="6">
        <v>15</v>
      </c>
      <c r="G31" s="3"/>
      <c r="H31" s="3"/>
      <c r="I31" s="3">
        <v>4</v>
      </c>
      <c r="J31" s="22">
        <f t="shared" si="2"/>
        <v>11</v>
      </c>
      <c r="K31" s="24"/>
    </row>
    <row r="32" spans="2:11" ht="24.95" customHeight="1" x14ac:dyDescent="0.6">
      <c r="B32" s="15">
        <v>25</v>
      </c>
      <c r="C32" s="20" t="s">
        <v>62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1</v>
      </c>
      <c r="J32" s="22">
        <f t="shared" si="2"/>
        <v>17.5</v>
      </c>
      <c r="K32" s="23"/>
    </row>
    <row r="33" spans="2:11" ht="24.95" customHeight="1" x14ac:dyDescent="0.6">
      <c r="B33" s="15">
        <v>26</v>
      </c>
      <c r="C33" s="20" t="s">
        <v>62</v>
      </c>
      <c r="D33" s="3" t="s">
        <v>87</v>
      </c>
      <c r="E33" s="17">
        <v>45383</v>
      </c>
      <c r="F33" s="6">
        <v>11</v>
      </c>
      <c r="G33" s="3">
        <v>2</v>
      </c>
      <c r="H33" s="3">
        <v>5</v>
      </c>
      <c r="I33" s="3">
        <v>1</v>
      </c>
      <c r="J33" s="22">
        <f t="shared" si="2"/>
        <v>17</v>
      </c>
      <c r="K33" s="24"/>
    </row>
    <row r="34" spans="2:11" ht="24.95" customHeight="1" x14ac:dyDescent="0.6">
      <c r="B34" s="15">
        <v>27</v>
      </c>
      <c r="C34" s="20" t="s">
        <v>63</v>
      </c>
      <c r="D34" s="3" t="s">
        <v>88</v>
      </c>
      <c r="E34" s="17">
        <v>45390</v>
      </c>
      <c r="F34" s="6">
        <v>11</v>
      </c>
      <c r="G34" s="3">
        <v>2</v>
      </c>
      <c r="H34" s="3">
        <v>1</v>
      </c>
      <c r="I34" s="3">
        <v>6.5</v>
      </c>
      <c r="J34" s="22">
        <f t="shared" si="2"/>
        <v>7.5</v>
      </c>
      <c r="K34" s="24"/>
    </row>
    <row r="35" spans="2:11" ht="24.95" customHeight="1" x14ac:dyDescent="0.6">
      <c r="B35" s="15">
        <v>28</v>
      </c>
      <c r="C35" s="20" t="s">
        <v>63</v>
      </c>
      <c r="D35" s="3" t="s">
        <v>89</v>
      </c>
      <c r="E35" s="17">
        <v>45411</v>
      </c>
      <c r="F35" s="6">
        <v>10</v>
      </c>
      <c r="G35" s="3">
        <v>2</v>
      </c>
      <c r="H35" s="3">
        <v>5</v>
      </c>
      <c r="I35" s="3">
        <v>1</v>
      </c>
      <c r="J35" s="22">
        <f t="shared" si="2"/>
        <v>16</v>
      </c>
      <c r="K35" s="24"/>
    </row>
    <row r="36" spans="2:11" ht="24.95" customHeight="1" x14ac:dyDescent="0.6">
      <c r="B36" s="15">
        <v>29</v>
      </c>
      <c r="C36" s="20" t="s">
        <v>62</v>
      </c>
      <c r="D36" s="32" t="s">
        <v>90</v>
      </c>
      <c r="E36" s="21">
        <v>45460</v>
      </c>
      <c r="F36" s="12">
        <v>8</v>
      </c>
      <c r="G36" s="13">
        <v>2</v>
      </c>
      <c r="H36" s="13">
        <v>4</v>
      </c>
      <c r="I36" s="13">
        <v>1</v>
      </c>
      <c r="J36" s="22">
        <f t="shared" si="2"/>
        <v>13</v>
      </c>
      <c r="K36" s="23"/>
    </row>
    <row r="37" spans="2:11" ht="24.95" customHeight="1" x14ac:dyDescent="0.6">
      <c r="B37" s="15">
        <v>30</v>
      </c>
      <c r="C37" s="20" t="s">
        <v>63</v>
      </c>
      <c r="D37" s="32" t="s">
        <v>91</v>
      </c>
      <c r="E37" s="21">
        <v>45488</v>
      </c>
      <c r="F37" s="12">
        <v>7</v>
      </c>
      <c r="G37" s="13">
        <v>2</v>
      </c>
      <c r="H37" s="13">
        <v>4</v>
      </c>
      <c r="I37" s="13">
        <v>2</v>
      </c>
      <c r="J37" s="22">
        <f t="shared" si="2"/>
        <v>11</v>
      </c>
      <c r="K37" s="23"/>
    </row>
    <row r="38" spans="2:11" ht="24.95" customHeight="1" x14ac:dyDescent="0.6">
      <c r="B38" s="15">
        <v>31</v>
      </c>
      <c r="C38" s="16" t="s">
        <v>63</v>
      </c>
      <c r="D38" s="30" t="s">
        <v>92</v>
      </c>
      <c r="E38" s="17">
        <v>45495</v>
      </c>
      <c r="F38" s="6">
        <v>6.5</v>
      </c>
      <c r="G38" s="3">
        <v>2</v>
      </c>
      <c r="H38" s="3">
        <v>5</v>
      </c>
      <c r="I38" s="3">
        <v>1</v>
      </c>
      <c r="J38" s="22">
        <f t="shared" si="2"/>
        <v>12.5</v>
      </c>
      <c r="K38" s="24"/>
    </row>
    <row r="39" spans="2:11" ht="24.95" customHeight="1" x14ac:dyDescent="0.6">
      <c r="B39" s="15">
        <v>32</v>
      </c>
      <c r="C39" s="16" t="s">
        <v>62</v>
      </c>
      <c r="D39" s="32" t="s">
        <v>93</v>
      </c>
      <c r="E39" s="21">
        <v>45516</v>
      </c>
      <c r="F39" s="12">
        <v>5.5</v>
      </c>
      <c r="G39" s="13">
        <v>2</v>
      </c>
      <c r="H39" s="13">
        <v>3.5</v>
      </c>
      <c r="I39" s="13">
        <v>1</v>
      </c>
      <c r="J39" s="22">
        <f t="shared" si="2"/>
        <v>10</v>
      </c>
      <c r="K39" s="23"/>
    </row>
    <row r="40" spans="2:11" ht="24.95" customHeight="1" x14ac:dyDescent="0.6">
      <c r="B40" s="15">
        <v>33</v>
      </c>
      <c r="C40" s="16" t="s">
        <v>62</v>
      </c>
      <c r="D40" s="32" t="s">
        <v>94</v>
      </c>
      <c r="E40" s="21">
        <v>45516</v>
      </c>
      <c r="F40" s="12">
        <v>5.5</v>
      </c>
      <c r="G40" s="13">
        <v>2</v>
      </c>
      <c r="H40" s="13">
        <v>4</v>
      </c>
      <c r="I40" s="13">
        <v>1</v>
      </c>
      <c r="J40" s="22">
        <f t="shared" si="2"/>
        <v>10.5</v>
      </c>
      <c r="K40" s="23"/>
    </row>
    <row r="41" spans="2:11" ht="24.95" customHeight="1" thickBot="1" x14ac:dyDescent="0.65">
      <c r="B41" s="25">
        <v>34</v>
      </c>
      <c r="C41" s="26" t="s">
        <v>62</v>
      </c>
      <c r="D41" s="31" t="s">
        <v>100</v>
      </c>
      <c r="E41" s="27">
        <v>45712</v>
      </c>
      <c r="F41" s="7"/>
      <c r="G41" s="8"/>
      <c r="H41" s="8"/>
      <c r="I41" s="8">
        <v>0</v>
      </c>
      <c r="J41" s="28">
        <f t="shared" si="2"/>
        <v>0</v>
      </c>
      <c r="K41" s="29"/>
    </row>
    <row r="42" spans="2:11" ht="19.149999999999999" x14ac:dyDescent="0.6">
      <c r="B42" s="10" t="s">
        <v>96</v>
      </c>
    </row>
    <row r="43" spans="2:11" x14ac:dyDescent="0.6">
      <c r="B43" s="11" t="s">
        <v>50</v>
      </c>
    </row>
    <row r="44" spans="2:11" x14ac:dyDescent="0.6">
      <c r="B44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42"/>
  <sheetViews>
    <sheetView showGridLines="0" zoomScale="85" zoomScaleNormal="85" workbookViewId="0">
      <selection activeCell="E26" sqref="E2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102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101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4</v>
      </c>
      <c r="F6" s="33" t="s">
        <v>9</v>
      </c>
      <c r="G6" s="43" t="s">
        <v>57</v>
      </c>
      <c r="H6" s="33" t="s">
        <v>49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16</v>
      </c>
      <c r="J9" s="22">
        <f>SUM(F9:H9)-I9</f>
        <v>1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3.5</v>
      </c>
      <c r="J10" s="18">
        <f t="shared" ref="J10:J12" si="0">SUM(F10:H10)-I10</f>
        <v>13.5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3</v>
      </c>
      <c r="J11" s="18">
        <f t="shared" si="0"/>
        <v>13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17</v>
      </c>
      <c r="E12" s="21">
        <v>44383</v>
      </c>
      <c r="F12" s="12">
        <v>16</v>
      </c>
      <c r="G12" s="13"/>
      <c r="H12" s="13"/>
      <c r="I12" s="13">
        <v>5.5</v>
      </c>
      <c r="J12" s="22">
        <f t="shared" si="0"/>
        <v>10.5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14</v>
      </c>
      <c r="E13" s="21">
        <v>44622</v>
      </c>
      <c r="F13" s="12">
        <v>15</v>
      </c>
      <c r="G13" s="13"/>
      <c r="H13" s="13"/>
      <c r="I13" s="13">
        <v>4.5</v>
      </c>
      <c r="J13" s="22">
        <f>SUM(F13:H13)-I13</f>
        <v>10.5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6</v>
      </c>
      <c r="J14" s="22">
        <f t="shared" ref="J14:J16" si="1">SUM(F14:H14)-I14</f>
        <v>9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16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19</v>
      </c>
      <c r="E16" s="21">
        <v>44827</v>
      </c>
      <c r="F16" s="12">
        <v>15</v>
      </c>
      <c r="G16" s="13"/>
      <c r="H16" s="13"/>
      <c r="I16" s="13">
        <v>1.5</v>
      </c>
      <c r="J16" s="22">
        <f t="shared" si="1"/>
        <v>13.5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7</v>
      </c>
      <c r="J17" s="22">
        <f t="shared" ref="J17:J39" si="2">SUM(F17:H17)-I17</f>
        <v>8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3</v>
      </c>
      <c r="J18" s="22">
        <f t="shared" si="2"/>
        <v>12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22</v>
      </c>
      <c r="E19" s="17">
        <v>44979</v>
      </c>
      <c r="F19" s="6">
        <v>15</v>
      </c>
      <c r="G19" s="3"/>
      <c r="H19" s="3"/>
      <c r="I19" s="3">
        <v>9</v>
      </c>
      <c r="J19" s="22">
        <f t="shared" si="2"/>
        <v>6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2</v>
      </c>
      <c r="J20" s="22">
        <f t="shared" si="2"/>
        <v>13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24</v>
      </c>
      <c r="E21" s="17">
        <v>45061</v>
      </c>
      <c r="F21" s="6">
        <v>15</v>
      </c>
      <c r="G21" s="3"/>
      <c r="H21" s="3"/>
      <c r="I21" s="3">
        <v>1.5</v>
      </c>
      <c r="J21" s="22">
        <f t="shared" si="2"/>
        <v>13.5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10</v>
      </c>
      <c r="J22" s="22">
        <f t="shared" si="2"/>
        <v>5</v>
      </c>
      <c r="K22" s="24"/>
    </row>
    <row r="23" spans="2:11" ht="24.95" customHeight="1" x14ac:dyDescent="0.6">
      <c r="B23" s="15">
        <v>16</v>
      </c>
      <c r="C23" s="16" t="s">
        <v>63</v>
      </c>
      <c r="D23" s="3" t="s">
        <v>77</v>
      </c>
      <c r="E23" s="17">
        <v>45117</v>
      </c>
      <c r="F23" s="6">
        <v>15</v>
      </c>
      <c r="G23" s="3"/>
      <c r="H23" s="3"/>
      <c r="I23" s="3">
        <v>8.5</v>
      </c>
      <c r="J23" s="22">
        <f t="shared" si="2"/>
        <v>6.5</v>
      </c>
      <c r="K23" s="24"/>
    </row>
    <row r="24" spans="2:11" ht="24.95" customHeight="1" x14ac:dyDescent="0.6">
      <c r="B24" s="15">
        <v>17</v>
      </c>
      <c r="C24" s="16" t="s">
        <v>62</v>
      </c>
      <c r="D24" s="3" t="s">
        <v>78</v>
      </c>
      <c r="E24" s="17">
        <v>45117</v>
      </c>
      <c r="F24" s="6">
        <v>15</v>
      </c>
      <c r="G24" s="3"/>
      <c r="H24" s="3"/>
      <c r="I24" s="3">
        <v>11.5</v>
      </c>
      <c r="J24" s="22">
        <f t="shared" si="2"/>
        <v>3.5</v>
      </c>
      <c r="K24" s="24"/>
    </row>
    <row r="25" spans="2:11" ht="24.95" customHeight="1" x14ac:dyDescent="0.6">
      <c r="B25" s="15">
        <v>18</v>
      </c>
      <c r="C25" s="16" t="s">
        <v>63</v>
      </c>
      <c r="D25" s="3" t="s">
        <v>79</v>
      </c>
      <c r="E25" s="17">
        <v>45125</v>
      </c>
      <c r="F25" s="6">
        <v>15</v>
      </c>
      <c r="G25" s="3"/>
      <c r="H25" s="3"/>
      <c r="I25" s="3">
        <v>4</v>
      </c>
      <c r="J25" s="22">
        <f t="shared" si="2"/>
        <v>11</v>
      </c>
      <c r="K25" s="24"/>
    </row>
    <row r="26" spans="2:11" ht="24.95" customHeight="1" x14ac:dyDescent="0.6">
      <c r="B26" s="15">
        <v>19</v>
      </c>
      <c r="C26" s="16" t="s">
        <v>62</v>
      </c>
      <c r="D26" s="13" t="s">
        <v>80</v>
      </c>
      <c r="E26" s="21">
        <v>45132</v>
      </c>
      <c r="F26" s="12">
        <v>15</v>
      </c>
      <c r="G26" s="13"/>
      <c r="H26" s="13"/>
      <c r="I26" s="13">
        <v>3</v>
      </c>
      <c r="J26" s="22">
        <f t="shared" si="2"/>
        <v>12</v>
      </c>
      <c r="K26" s="23"/>
    </row>
    <row r="27" spans="2:11" ht="24.95" customHeight="1" x14ac:dyDescent="0.6">
      <c r="B27" s="15">
        <v>20</v>
      </c>
      <c r="C27" s="20" t="s">
        <v>63</v>
      </c>
      <c r="D27" s="13" t="s">
        <v>81</v>
      </c>
      <c r="E27" s="21">
        <v>45166</v>
      </c>
      <c r="F27" s="12">
        <v>15</v>
      </c>
      <c r="G27" s="13"/>
      <c r="H27" s="13"/>
      <c r="I27" s="13">
        <v>1.5</v>
      </c>
      <c r="J27" s="22">
        <f t="shared" si="2"/>
        <v>13.5</v>
      </c>
      <c r="K27" s="23"/>
    </row>
    <row r="28" spans="2:11" ht="24.95" customHeight="1" x14ac:dyDescent="0.6">
      <c r="B28" s="15">
        <v>21</v>
      </c>
      <c r="C28" s="20" t="s">
        <v>62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62</v>
      </c>
      <c r="D29" s="3" t="s">
        <v>83</v>
      </c>
      <c r="E29" s="17">
        <v>45195</v>
      </c>
      <c r="F29" s="6">
        <v>15</v>
      </c>
      <c r="G29" s="3"/>
      <c r="H29" s="3"/>
      <c r="I29" s="3">
        <v>11</v>
      </c>
      <c r="J29" s="22">
        <f t="shared" si="2"/>
        <v>4</v>
      </c>
      <c r="K29" s="24"/>
    </row>
    <row r="30" spans="2:11" ht="24.95" customHeight="1" x14ac:dyDescent="0.6">
      <c r="B30" s="15">
        <v>23</v>
      </c>
      <c r="C30" s="20" t="s">
        <v>63</v>
      </c>
      <c r="D30" s="3" t="s">
        <v>84</v>
      </c>
      <c r="E30" s="17">
        <v>45209</v>
      </c>
      <c r="F30" s="6">
        <v>15</v>
      </c>
      <c r="G30" s="3"/>
      <c r="H30" s="3"/>
      <c r="I30" s="3">
        <v>4.5</v>
      </c>
      <c r="J30" s="22">
        <f t="shared" si="2"/>
        <v>10.5</v>
      </c>
      <c r="K30" s="24"/>
    </row>
    <row r="31" spans="2:11" ht="24.95" customHeight="1" x14ac:dyDescent="0.6">
      <c r="B31" s="15">
        <v>24</v>
      </c>
      <c r="C31" s="20" t="s">
        <v>62</v>
      </c>
      <c r="D31" s="3" t="s">
        <v>85</v>
      </c>
      <c r="E31" s="17">
        <v>45222</v>
      </c>
      <c r="F31" s="6">
        <v>15</v>
      </c>
      <c r="G31" s="3"/>
      <c r="H31" s="3"/>
      <c r="I31" s="3">
        <v>5</v>
      </c>
      <c r="J31" s="22">
        <f t="shared" si="2"/>
        <v>10</v>
      </c>
      <c r="K31" s="24"/>
    </row>
    <row r="32" spans="2:11" ht="24.95" customHeight="1" x14ac:dyDescent="0.6">
      <c r="B32" s="15">
        <v>25</v>
      </c>
      <c r="C32" s="20" t="s">
        <v>62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2</v>
      </c>
      <c r="J32" s="22">
        <f t="shared" si="2"/>
        <v>16.5</v>
      </c>
      <c r="K32" s="23"/>
    </row>
    <row r="33" spans="2:11" ht="24.95" customHeight="1" x14ac:dyDescent="0.6">
      <c r="B33" s="15">
        <v>26</v>
      </c>
      <c r="C33" s="20" t="s">
        <v>63</v>
      </c>
      <c r="D33" s="3" t="s">
        <v>88</v>
      </c>
      <c r="E33" s="17">
        <v>45390</v>
      </c>
      <c r="F33" s="6">
        <v>11</v>
      </c>
      <c r="G33" s="3">
        <v>3</v>
      </c>
      <c r="H33" s="3">
        <v>1</v>
      </c>
      <c r="I33" s="3">
        <v>6.5</v>
      </c>
      <c r="J33" s="22">
        <f t="shared" si="2"/>
        <v>8.5</v>
      </c>
      <c r="K33" s="24"/>
    </row>
    <row r="34" spans="2:11" ht="24.95" customHeight="1" x14ac:dyDescent="0.6">
      <c r="B34" s="15">
        <v>27</v>
      </c>
      <c r="C34" s="20" t="s">
        <v>63</v>
      </c>
      <c r="D34" s="3" t="s">
        <v>89</v>
      </c>
      <c r="E34" s="17">
        <v>45411</v>
      </c>
      <c r="F34" s="6">
        <v>10</v>
      </c>
      <c r="G34" s="3">
        <v>3</v>
      </c>
      <c r="H34" s="3">
        <v>5</v>
      </c>
      <c r="I34" s="3">
        <v>1</v>
      </c>
      <c r="J34" s="22">
        <f t="shared" si="2"/>
        <v>17</v>
      </c>
      <c r="K34" s="24"/>
    </row>
    <row r="35" spans="2:11" ht="24.95" customHeight="1" x14ac:dyDescent="0.6">
      <c r="B35" s="15">
        <v>28</v>
      </c>
      <c r="C35" s="20" t="s">
        <v>62</v>
      </c>
      <c r="D35" s="32" t="s">
        <v>90</v>
      </c>
      <c r="E35" s="21">
        <v>45460</v>
      </c>
      <c r="F35" s="12">
        <v>8</v>
      </c>
      <c r="G35" s="13">
        <v>4</v>
      </c>
      <c r="H35" s="13">
        <v>4</v>
      </c>
      <c r="I35" s="13">
        <v>1</v>
      </c>
      <c r="J35" s="22">
        <f t="shared" si="2"/>
        <v>15</v>
      </c>
      <c r="K35" s="23"/>
    </row>
    <row r="36" spans="2:11" ht="24.95" customHeight="1" x14ac:dyDescent="0.6">
      <c r="B36" s="15">
        <v>29</v>
      </c>
      <c r="C36" s="20" t="s">
        <v>63</v>
      </c>
      <c r="D36" s="32" t="s">
        <v>91</v>
      </c>
      <c r="E36" s="21">
        <v>45488</v>
      </c>
      <c r="F36" s="12">
        <v>7</v>
      </c>
      <c r="G36" s="13">
        <v>4</v>
      </c>
      <c r="H36" s="13">
        <v>4</v>
      </c>
      <c r="I36" s="13">
        <v>2</v>
      </c>
      <c r="J36" s="22">
        <f t="shared" si="2"/>
        <v>13</v>
      </c>
      <c r="K36" s="23"/>
    </row>
    <row r="37" spans="2:11" ht="24.95" customHeight="1" x14ac:dyDescent="0.6">
      <c r="B37" s="15">
        <v>30</v>
      </c>
      <c r="C37" s="16" t="s">
        <v>63</v>
      </c>
      <c r="D37" s="30" t="s">
        <v>92</v>
      </c>
      <c r="E37" s="17">
        <v>45495</v>
      </c>
      <c r="F37" s="6">
        <v>6.5</v>
      </c>
      <c r="G37" s="3">
        <v>4</v>
      </c>
      <c r="H37" s="3">
        <v>5</v>
      </c>
      <c r="I37" s="3">
        <v>1</v>
      </c>
      <c r="J37" s="22">
        <f t="shared" si="2"/>
        <v>14.5</v>
      </c>
      <c r="K37" s="24"/>
    </row>
    <row r="38" spans="2:11" ht="24.95" customHeight="1" x14ac:dyDescent="0.6">
      <c r="B38" s="15">
        <v>31</v>
      </c>
      <c r="C38" s="16" t="s">
        <v>62</v>
      </c>
      <c r="D38" s="32" t="s">
        <v>93</v>
      </c>
      <c r="E38" s="21">
        <v>45516</v>
      </c>
      <c r="F38" s="12">
        <v>5.5</v>
      </c>
      <c r="G38" s="13">
        <v>4</v>
      </c>
      <c r="H38" s="13">
        <v>3.5</v>
      </c>
      <c r="I38" s="13">
        <v>2.5</v>
      </c>
      <c r="J38" s="22">
        <f t="shared" si="2"/>
        <v>10.5</v>
      </c>
      <c r="K38" s="23"/>
    </row>
    <row r="39" spans="2:11" ht="24.95" customHeight="1" thickBot="1" x14ac:dyDescent="0.65">
      <c r="B39" s="25">
        <v>32</v>
      </c>
      <c r="C39" s="26" t="s">
        <v>62</v>
      </c>
      <c r="D39" s="31" t="s">
        <v>94</v>
      </c>
      <c r="E39" s="27">
        <v>45516</v>
      </c>
      <c r="F39" s="7">
        <v>5.5</v>
      </c>
      <c r="G39" s="8">
        <v>4</v>
      </c>
      <c r="H39" s="8">
        <v>4</v>
      </c>
      <c r="I39" s="8">
        <v>1</v>
      </c>
      <c r="J39" s="28">
        <f t="shared" si="2"/>
        <v>12.5</v>
      </c>
      <c r="K39" s="29"/>
    </row>
    <row r="40" spans="2:11" ht="19.149999999999999" x14ac:dyDescent="0.6">
      <c r="B40" s="10" t="s">
        <v>96</v>
      </c>
    </row>
    <row r="41" spans="2:11" x14ac:dyDescent="0.6">
      <c r="B41" s="11" t="s">
        <v>50</v>
      </c>
    </row>
    <row r="42" spans="2:11" x14ac:dyDescent="0.6">
      <c r="B42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41"/>
  <sheetViews>
    <sheetView showGridLines="0" zoomScale="85" zoomScaleNormal="85" workbookViewId="0">
      <selection activeCell="P27" sqref="P27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103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104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2.5</v>
      </c>
      <c r="J8" s="18">
        <f>SUM(F8:H8)-I8</f>
        <v>15.5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>
        <v>17</v>
      </c>
      <c r="J9" s="22">
        <f>SUM(F9:H9)-I9</f>
        <v>0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7.5</v>
      </c>
      <c r="J10" s="18">
        <f t="shared" ref="J10:J12" si="0">SUM(F10:H10)-I10</f>
        <v>9.5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>
        <v>4</v>
      </c>
      <c r="J11" s="18">
        <f t="shared" si="0"/>
        <v>12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>
        <v>6.5</v>
      </c>
      <c r="J12" s="22">
        <f t="shared" si="0"/>
        <v>9.5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>
        <v>6</v>
      </c>
      <c r="J13" s="22">
        <f>SUM(F13:H13)-I13</f>
        <v>9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>
        <v>8</v>
      </c>
      <c r="J14" s="22">
        <f t="shared" ref="J14:J16" si="1">SUM(F14:H14)-I14</f>
        <v>7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>
        <v>4</v>
      </c>
      <c r="J15" s="22">
        <f t="shared" si="1"/>
        <v>11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>
        <v>2.5</v>
      </c>
      <c r="J16" s="22">
        <f t="shared" si="1"/>
        <v>12.5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70</v>
      </c>
      <c r="E17" s="21">
        <v>44951</v>
      </c>
      <c r="F17" s="12">
        <v>15</v>
      </c>
      <c r="G17" s="13"/>
      <c r="H17" s="13"/>
      <c r="I17" s="13">
        <v>8</v>
      </c>
      <c r="J17" s="22">
        <f t="shared" ref="J17:J38" si="2">SUM(F17:H17)-I17</f>
        <v>7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>
        <v>4</v>
      </c>
      <c r="J18" s="22">
        <f t="shared" si="2"/>
        <v>11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>
        <v>10</v>
      </c>
      <c r="J19" s="22">
        <f t="shared" si="2"/>
        <v>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>
        <v>3.5</v>
      </c>
      <c r="J20" s="22">
        <f t="shared" si="2"/>
        <v>11.5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>
        <v>2.5</v>
      </c>
      <c r="J21" s="22">
        <f t="shared" si="2"/>
        <v>12.5</v>
      </c>
      <c r="K21" s="24"/>
    </row>
    <row r="22" spans="2:11" ht="24.95" customHeight="1" x14ac:dyDescent="0.6">
      <c r="B22" s="15">
        <v>15</v>
      </c>
      <c r="C22" s="16" t="s">
        <v>6</v>
      </c>
      <c r="D22" s="3" t="s">
        <v>75</v>
      </c>
      <c r="E22" s="17">
        <v>45096</v>
      </c>
      <c r="F22" s="6">
        <v>15</v>
      </c>
      <c r="G22" s="3"/>
      <c r="H22" s="3"/>
      <c r="I22" s="3">
        <v>11</v>
      </c>
      <c r="J22" s="22">
        <f t="shared" si="2"/>
        <v>4</v>
      </c>
      <c r="K22" s="24"/>
    </row>
    <row r="23" spans="2:11" ht="24.95" customHeight="1" x14ac:dyDescent="0.6">
      <c r="B23" s="15">
        <v>16</v>
      </c>
      <c r="C23" s="16" t="s">
        <v>6</v>
      </c>
      <c r="D23" s="3" t="s">
        <v>77</v>
      </c>
      <c r="E23" s="17">
        <v>45117</v>
      </c>
      <c r="F23" s="6">
        <v>15</v>
      </c>
      <c r="G23" s="3"/>
      <c r="H23" s="3"/>
      <c r="I23" s="3">
        <v>9.5</v>
      </c>
      <c r="J23" s="22">
        <f t="shared" si="2"/>
        <v>5.5</v>
      </c>
      <c r="K23" s="24"/>
    </row>
    <row r="24" spans="2:11" ht="24.95" customHeight="1" x14ac:dyDescent="0.6">
      <c r="B24" s="15">
        <v>17</v>
      </c>
      <c r="C24" s="16" t="s">
        <v>6</v>
      </c>
      <c r="D24" s="3" t="s">
        <v>78</v>
      </c>
      <c r="E24" s="17">
        <v>45117</v>
      </c>
      <c r="F24" s="6">
        <v>15</v>
      </c>
      <c r="G24" s="3"/>
      <c r="H24" s="3"/>
      <c r="I24" s="3">
        <v>12.5</v>
      </c>
      <c r="J24" s="22">
        <f t="shared" si="2"/>
        <v>2.5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79</v>
      </c>
      <c r="E25" s="17">
        <v>45125</v>
      </c>
      <c r="F25" s="6">
        <v>15</v>
      </c>
      <c r="G25" s="3"/>
      <c r="H25" s="3"/>
      <c r="I25" s="3">
        <v>5</v>
      </c>
      <c r="J25" s="22">
        <f t="shared" si="2"/>
        <v>10</v>
      </c>
      <c r="K25" s="24"/>
    </row>
    <row r="26" spans="2:11" ht="24.95" customHeight="1" x14ac:dyDescent="0.6">
      <c r="B26" s="15">
        <v>19</v>
      </c>
      <c r="C26" s="16" t="s">
        <v>6</v>
      </c>
      <c r="D26" s="13" t="s">
        <v>80</v>
      </c>
      <c r="E26" s="21">
        <v>45132</v>
      </c>
      <c r="F26" s="12">
        <v>15</v>
      </c>
      <c r="G26" s="13"/>
      <c r="H26" s="13"/>
      <c r="I26" s="13">
        <v>12</v>
      </c>
      <c r="J26" s="22">
        <f t="shared" si="2"/>
        <v>3</v>
      </c>
      <c r="K26" s="23"/>
    </row>
    <row r="27" spans="2:11" ht="24.95" customHeight="1" x14ac:dyDescent="0.6">
      <c r="B27" s="15">
        <v>20</v>
      </c>
      <c r="C27" s="20" t="s">
        <v>6</v>
      </c>
      <c r="D27" s="13" t="s">
        <v>81</v>
      </c>
      <c r="E27" s="21">
        <v>45166</v>
      </c>
      <c r="F27" s="12">
        <v>15</v>
      </c>
      <c r="G27" s="13"/>
      <c r="H27" s="13"/>
      <c r="I27" s="13">
        <v>3</v>
      </c>
      <c r="J27" s="22">
        <f t="shared" si="2"/>
        <v>12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</v>
      </c>
      <c r="D29" s="3" t="s">
        <v>83</v>
      </c>
      <c r="E29" s="17">
        <v>45195</v>
      </c>
      <c r="F29" s="6">
        <v>15</v>
      </c>
      <c r="G29" s="3"/>
      <c r="H29" s="3"/>
      <c r="I29" s="3">
        <v>12</v>
      </c>
      <c r="J29" s="22">
        <f t="shared" si="2"/>
        <v>3</v>
      </c>
      <c r="K29" s="24"/>
    </row>
    <row r="30" spans="2:11" ht="24.95" customHeight="1" x14ac:dyDescent="0.6">
      <c r="B30" s="15">
        <v>23</v>
      </c>
      <c r="C30" s="20" t="s">
        <v>6</v>
      </c>
      <c r="D30" s="3" t="s">
        <v>84</v>
      </c>
      <c r="E30" s="17">
        <v>45209</v>
      </c>
      <c r="F30" s="6">
        <v>15</v>
      </c>
      <c r="G30" s="3"/>
      <c r="H30" s="3"/>
      <c r="I30" s="3">
        <v>5.5</v>
      </c>
      <c r="J30" s="22">
        <f t="shared" si="2"/>
        <v>9.5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85</v>
      </c>
      <c r="E31" s="17">
        <v>45222</v>
      </c>
      <c r="F31" s="6">
        <v>15</v>
      </c>
      <c r="G31" s="3"/>
      <c r="H31" s="3"/>
      <c r="I31" s="3">
        <v>6.5</v>
      </c>
      <c r="J31" s="22">
        <f t="shared" si="2"/>
        <v>8.5</v>
      </c>
      <c r="K31" s="24"/>
    </row>
    <row r="32" spans="2:11" ht="24.95" customHeight="1" x14ac:dyDescent="0.6">
      <c r="B32" s="15">
        <v>25</v>
      </c>
      <c r="C32" s="20" t="s">
        <v>6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3</v>
      </c>
      <c r="J32" s="22">
        <f t="shared" si="2"/>
        <v>15.5</v>
      </c>
      <c r="K32" s="23"/>
    </row>
    <row r="33" spans="2:11" ht="24.95" customHeight="1" x14ac:dyDescent="0.6">
      <c r="B33" s="15">
        <v>26</v>
      </c>
      <c r="C33" s="20" t="s">
        <v>6</v>
      </c>
      <c r="D33" s="3" t="s">
        <v>89</v>
      </c>
      <c r="E33" s="17">
        <v>45411</v>
      </c>
      <c r="F33" s="6">
        <v>10</v>
      </c>
      <c r="G33" s="3">
        <v>3</v>
      </c>
      <c r="H33" s="3">
        <v>5</v>
      </c>
      <c r="I33" s="3">
        <v>2</v>
      </c>
      <c r="J33" s="22">
        <f t="shared" si="2"/>
        <v>16</v>
      </c>
      <c r="K33" s="24"/>
    </row>
    <row r="34" spans="2:11" ht="24.95" customHeight="1" x14ac:dyDescent="0.6">
      <c r="B34" s="15">
        <v>27</v>
      </c>
      <c r="C34" s="20" t="s">
        <v>6</v>
      </c>
      <c r="D34" s="32" t="s">
        <v>90</v>
      </c>
      <c r="E34" s="21">
        <v>45460</v>
      </c>
      <c r="F34" s="12">
        <v>8</v>
      </c>
      <c r="G34" s="13">
        <v>5</v>
      </c>
      <c r="H34" s="13">
        <v>4</v>
      </c>
      <c r="I34" s="13">
        <v>2</v>
      </c>
      <c r="J34" s="22">
        <f t="shared" si="2"/>
        <v>15</v>
      </c>
      <c r="K34" s="23"/>
    </row>
    <row r="35" spans="2:11" ht="24.95" customHeight="1" x14ac:dyDescent="0.6">
      <c r="B35" s="15">
        <v>28</v>
      </c>
      <c r="C35" s="20" t="s">
        <v>6</v>
      </c>
      <c r="D35" s="32" t="s">
        <v>91</v>
      </c>
      <c r="E35" s="21">
        <v>45488</v>
      </c>
      <c r="F35" s="12">
        <v>7</v>
      </c>
      <c r="G35" s="13">
        <v>5</v>
      </c>
      <c r="H35" s="13">
        <v>4</v>
      </c>
      <c r="I35" s="13">
        <v>3</v>
      </c>
      <c r="J35" s="22">
        <f t="shared" si="2"/>
        <v>13</v>
      </c>
      <c r="K35" s="23"/>
    </row>
    <row r="36" spans="2:11" ht="24.95" customHeight="1" x14ac:dyDescent="0.6">
      <c r="B36" s="15">
        <v>29</v>
      </c>
      <c r="C36" s="16" t="s">
        <v>6</v>
      </c>
      <c r="D36" s="30" t="s">
        <v>92</v>
      </c>
      <c r="E36" s="17">
        <v>45495</v>
      </c>
      <c r="F36" s="6">
        <v>6.5</v>
      </c>
      <c r="G36" s="3">
        <v>5</v>
      </c>
      <c r="H36" s="3">
        <v>5</v>
      </c>
      <c r="I36" s="3">
        <v>2</v>
      </c>
      <c r="J36" s="22">
        <f t="shared" si="2"/>
        <v>14.5</v>
      </c>
      <c r="K36" s="24"/>
    </row>
    <row r="37" spans="2:11" ht="24.95" customHeight="1" x14ac:dyDescent="0.6">
      <c r="B37" s="15">
        <v>30</v>
      </c>
      <c r="C37" s="16" t="s">
        <v>6</v>
      </c>
      <c r="D37" s="32" t="s">
        <v>93</v>
      </c>
      <c r="E37" s="21">
        <v>45516</v>
      </c>
      <c r="F37" s="12">
        <v>5.5</v>
      </c>
      <c r="G37" s="13">
        <v>5</v>
      </c>
      <c r="H37" s="13">
        <v>3.5</v>
      </c>
      <c r="I37" s="13">
        <v>3.5</v>
      </c>
      <c r="J37" s="22">
        <f t="shared" si="2"/>
        <v>10.5</v>
      </c>
      <c r="K37" s="23"/>
    </row>
    <row r="38" spans="2:11" ht="24.95" customHeight="1" thickBot="1" x14ac:dyDescent="0.65">
      <c r="B38" s="25">
        <v>31</v>
      </c>
      <c r="C38" s="26" t="s">
        <v>6</v>
      </c>
      <c r="D38" s="31" t="s">
        <v>94</v>
      </c>
      <c r="E38" s="27">
        <v>45516</v>
      </c>
      <c r="F38" s="7">
        <v>5.5</v>
      </c>
      <c r="G38" s="8">
        <v>5</v>
      </c>
      <c r="H38" s="8">
        <v>4</v>
      </c>
      <c r="I38" s="8">
        <v>2</v>
      </c>
      <c r="J38" s="28">
        <f t="shared" si="2"/>
        <v>12.5</v>
      </c>
      <c r="K38" s="29"/>
    </row>
    <row r="39" spans="2:11" ht="19.149999999999999" x14ac:dyDescent="0.6">
      <c r="B39" s="10" t="s">
        <v>10</v>
      </c>
    </row>
    <row r="40" spans="2:11" x14ac:dyDescent="0.6">
      <c r="B40" s="11" t="s">
        <v>50</v>
      </c>
    </row>
    <row r="41" spans="2:11" x14ac:dyDescent="0.6">
      <c r="B41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41"/>
  <sheetViews>
    <sheetView showGridLines="0" zoomScale="85" zoomScaleNormal="85" workbookViewId="0">
      <selection activeCell="P22" sqref="P22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105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106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2.5</v>
      </c>
      <c r="J8" s="18">
        <f>SUM(F8:H8)-I8</f>
        <v>15.5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>
        <v>17</v>
      </c>
      <c r="J9" s="22">
        <f>SUM(F9:H9)-I9</f>
        <v>0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7.5</v>
      </c>
      <c r="J10" s="18">
        <f t="shared" ref="J10:J12" si="0">SUM(F10:H10)-I10</f>
        <v>9.5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>
        <v>4</v>
      </c>
      <c r="J11" s="18">
        <f t="shared" si="0"/>
        <v>12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>
        <v>6.5</v>
      </c>
      <c r="J12" s="22">
        <f t="shared" si="0"/>
        <v>9.5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>
        <v>6</v>
      </c>
      <c r="J13" s="22">
        <f>SUM(F13:H13)-I13</f>
        <v>9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>
        <v>8</v>
      </c>
      <c r="J14" s="22">
        <f t="shared" ref="J14:J16" si="1">SUM(F14:H14)-I14</f>
        <v>7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>
        <v>4</v>
      </c>
      <c r="J15" s="22">
        <f t="shared" si="1"/>
        <v>11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>
        <v>2.5</v>
      </c>
      <c r="J16" s="22">
        <f t="shared" si="1"/>
        <v>12.5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20</v>
      </c>
      <c r="E17" s="21">
        <v>44951</v>
      </c>
      <c r="F17" s="12">
        <v>15</v>
      </c>
      <c r="G17" s="13"/>
      <c r="H17" s="13"/>
      <c r="I17" s="13">
        <v>9</v>
      </c>
      <c r="J17" s="22">
        <f t="shared" ref="J17:J38" si="2">SUM(F17:H17)-I17</f>
        <v>6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>
        <v>9</v>
      </c>
      <c r="J18" s="22">
        <f t="shared" si="2"/>
        <v>6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>
        <v>10.5</v>
      </c>
      <c r="J19" s="22">
        <f t="shared" si="2"/>
        <v>4.5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>
        <v>4</v>
      </c>
      <c r="J20" s="22">
        <f t="shared" si="2"/>
        <v>11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>
        <v>8</v>
      </c>
      <c r="J21" s="22">
        <f t="shared" si="2"/>
        <v>7</v>
      </c>
      <c r="K21" s="24"/>
    </row>
    <row r="22" spans="2:11" ht="24.95" customHeight="1" x14ac:dyDescent="0.6">
      <c r="B22" s="15">
        <v>15</v>
      </c>
      <c r="C22" s="16" t="s">
        <v>6</v>
      </c>
      <c r="D22" s="3" t="s">
        <v>75</v>
      </c>
      <c r="E22" s="17">
        <v>45096</v>
      </c>
      <c r="F22" s="6">
        <v>15</v>
      </c>
      <c r="G22" s="3"/>
      <c r="H22" s="3"/>
      <c r="I22" s="3">
        <v>11</v>
      </c>
      <c r="J22" s="22">
        <f t="shared" si="2"/>
        <v>4</v>
      </c>
      <c r="K22" s="24"/>
    </row>
    <row r="23" spans="2:11" ht="24.95" customHeight="1" x14ac:dyDescent="0.6">
      <c r="B23" s="15">
        <v>16</v>
      </c>
      <c r="C23" s="16" t="s">
        <v>6</v>
      </c>
      <c r="D23" s="3" t="s">
        <v>77</v>
      </c>
      <c r="E23" s="17">
        <v>45117</v>
      </c>
      <c r="F23" s="6">
        <v>15</v>
      </c>
      <c r="G23" s="3"/>
      <c r="H23" s="3"/>
      <c r="I23" s="3">
        <v>9.5</v>
      </c>
      <c r="J23" s="22">
        <f t="shared" si="2"/>
        <v>5.5</v>
      </c>
      <c r="K23" s="24"/>
    </row>
    <row r="24" spans="2:11" ht="24.95" customHeight="1" x14ac:dyDescent="0.6">
      <c r="B24" s="15">
        <v>17</v>
      </c>
      <c r="C24" s="16" t="s">
        <v>6</v>
      </c>
      <c r="D24" s="3" t="s">
        <v>78</v>
      </c>
      <c r="E24" s="17">
        <v>45117</v>
      </c>
      <c r="F24" s="6">
        <v>15</v>
      </c>
      <c r="G24" s="3"/>
      <c r="H24" s="3"/>
      <c r="I24" s="3">
        <v>12.5</v>
      </c>
      <c r="J24" s="22">
        <f t="shared" si="2"/>
        <v>2.5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79</v>
      </c>
      <c r="E25" s="17">
        <v>45125</v>
      </c>
      <c r="F25" s="6">
        <v>15</v>
      </c>
      <c r="G25" s="3"/>
      <c r="H25" s="3"/>
      <c r="I25" s="3">
        <v>6</v>
      </c>
      <c r="J25" s="22">
        <f t="shared" si="2"/>
        <v>9</v>
      </c>
      <c r="K25" s="24"/>
    </row>
    <row r="26" spans="2:11" ht="24.95" customHeight="1" x14ac:dyDescent="0.6">
      <c r="B26" s="15">
        <v>19</v>
      </c>
      <c r="C26" s="16" t="s">
        <v>6</v>
      </c>
      <c r="D26" s="13" t="s">
        <v>80</v>
      </c>
      <c r="E26" s="21">
        <v>45132</v>
      </c>
      <c r="F26" s="12">
        <v>15</v>
      </c>
      <c r="G26" s="13"/>
      <c r="H26" s="13"/>
      <c r="I26" s="13">
        <v>15</v>
      </c>
      <c r="J26" s="22">
        <f t="shared" si="2"/>
        <v>0</v>
      </c>
      <c r="K26" s="23"/>
    </row>
    <row r="27" spans="2:11" ht="24.95" customHeight="1" x14ac:dyDescent="0.6">
      <c r="B27" s="15">
        <v>20</v>
      </c>
      <c r="C27" s="20" t="s">
        <v>6</v>
      </c>
      <c r="D27" s="13" t="s">
        <v>81</v>
      </c>
      <c r="E27" s="21">
        <v>45166</v>
      </c>
      <c r="F27" s="12">
        <v>15</v>
      </c>
      <c r="G27" s="13"/>
      <c r="H27" s="13"/>
      <c r="I27" s="13">
        <v>4</v>
      </c>
      <c r="J27" s="22">
        <f t="shared" si="2"/>
        <v>11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</v>
      </c>
      <c r="D29" s="3" t="s">
        <v>83</v>
      </c>
      <c r="E29" s="17">
        <v>45195</v>
      </c>
      <c r="F29" s="6">
        <v>15</v>
      </c>
      <c r="G29" s="3"/>
      <c r="H29" s="3"/>
      <c r="I29" s="3">
        <v>12</v>
      </c>
      <c r="J29" s="22">
        <f t="shared" si="2"/>
        <v>3</v>
      </c>
      <c r="K29" s="24"/>
    </row>
    <row r="30" spans="2:11" ht="24.95" customHeight="1" x14ac:dyDescent="0.6">
      <c r="B30" s="15">
        <v>23</v>
      </c>
      <c r="C30" s="20" t="s">
        <v>6</v>
      </c>
      <c r="D30" s="3" t="s">
        <v>84</v>
      </c>
      <c r="E30" s="17">
        <v>45209</v>
      </c>
      <c r="F30" s="6">
        <v>15</v>
      </c>
      <c r="G30" s="3"/>
      <c r="H30" s="3"/>
      <c r="I30" s="3">
        <v>6.5</v>
      </c>
      <c r="J30" s="22">
        <f t="shared" si="2"/>
        <v>8.5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85</v>
      </c>
      <c r="E31" s="17">
        <v>45222</v>
      </c>
      <c r="F31" s="6">
        <v>15</v>
      </c>
      <c r="G31" s="3"/>
      <c r="H31" s="3"/>
      <c r="I31" s="3">
        <v>7</v>
      </c>
      <c r="J31" s="22">
        <f t="shared" si="2"/>
        <v>8</v>
      </c>
      <c r="K31" s="24"/>
    </row>
    <row r="32" spans="2:11" ht="24.95" customHeight="1" x14ac:dyDescent="0.6">
      <c r="B32" s="15">
        <v>25</v>
      </c>
      <c r="C32" s="20" t="s">
        <v>6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3</v>
      </c>
      <c r="J32" s="22">
        <f t="shared" si="2"/>
        <v>15.5</v>
      </c>
      <c r="K32" s="23"/>
    </row>
    <row r="33" spans="2:11" ht="24.95" customHeight="1" x14ac:dyDescent="0.6">
      <c r="B33" s="15">
        <v>26</v>
      </c>
      <c r="C33" s="20" t="s">
        <v>6</v>
      </c>
      <c r="D33" s="3" t="s">
        <v>89</v>
      </c>
      <c r="E33" s="17">
        <v>45411</v>
      </c>
      <c r="F33" s="6">
        <v>10</v>
      </c>
      <c r="G33" s="3">
        <v>3</v>
      </c>
      <c r="H33" s="3">
        <v>5</v>
      </c>
      <c r="I33" s="3">
        <v>3</v>
      </c>
      <c r="J33" s="22">
        <f t="shared" si="2"/>
        <v>15</v>
      </c>
      <c r="K33" s="24"/>
    </row>
    <row r="34" spans="2:11" ht="24.95" customHeight="1" x14ac:dyDescent="0.6">
      <c r="B34" s="15">
        <v>27</v>
      </c>
      <c r="C34" s="20" t="s">
        <v>6</v>
      </c>
      <c r="D34" s="32" t="s">
        <v>90</v>
      </c>
      <c r="E34" s="21">
        <v>45460</v>
      </c>
      <c r="F34" s="12">
        <v>8</v>
      </c>
      <c r="G34" s="13">
        <v>5</v>
      </c>
      <c r="H34" s="13">
        <v>4</v>
      </c>
      <c r="I34" s="13">
        <v>2</v>
      </c>
      <c r="J34" s="22">
        <f t="shared" si="2"/>
        <v>15</v>
      </c>
      <c r="K34" s="23"/>
    </row>
    <row r="35" spans="2:11" ht="24.95" customHeight="1" x14ac:dyDescent="0.6">
      <c r="B35" s="15">
        <v>28</v>
      </c>
      <c r="C35" s="20" t="s">
        <v>6</v>
      </c>
      <c r="D35" s="32" t="s">
        <v>91</v>
      </c>
      <c r="E35" s="21">
        <v>45488</v>
      </c>
      <c r="F35" s="12">
        <v>7</v>
      </c>
      <c r="G35" s="13">
        <v>6</v>
      </c>
      <c r="H35" s="13">
        <v>4</v>
      </c>
      <c r="I35" s="13">
        <v>3</v>
      </c>
      <c r="J35" s="22">
        <f t="shared" si="2"/>
        <v>14</v>
      </c>
      <c r="K35" s="23"/>
    </row>
    <row r="36" spans="2:11" ht="24.95" customHeight="1" x14ac:dyDescent="0.6">
      <c r="B36" s="15">
        <v>29</v>
      </c>
      <c r="C36" s="16" t="s">
        <v>6</v>
      </c>
      <c r="D36" s="30" t="s">
        <v>92</v>
      </c>
      <c r="E36" s="17">
        <v>45495</v>
      </c>
      <c r="F36" s="6">
        <v>6.5</v>
      </c>
      <c r="G36" s="3">
        <v>6</v>
      </c>
      <c r="H36" s="3">
        <v>5</v>
      </c>
      <c r="I36" s="3">
        <v>2</v>
      </c>
      <c r="J36" s="22">
        <f t="shared" si="2"/>
        <v>15.5</v>
      </c>
      <c r="K36" s="24"/>
    </row>
    <row r="37" spans="2:11" ht="24.95" customHeight="1" x14ac:dyDescent="0.6">
      <c r="B37" s="15">
        <v>30</v>
      </c>
      <c r="C37" s="16" t="s">
        <v>6</v>
      </c>
      <c r="D37" s="32" t="s">
        <v>93</v>
      </c>
      <c r="E37" s="21">
        <v>45516</v>
      </c>
      <c r="F37" s="12">
        <v>5.5</v>
      </c>
      <c r="G37" s="13">
        <v>6</v>
      </c>
      <c r="H37" s="13">
        <v>3.5</v>
      </c>
      <c r="I37" s="13">
        <v>3.5</v>
      </c>
      <c r="J37" s="22">
        <f t="shared" si="2"/>
        <v>11.5</v>
      </c>
      <c r="K37" s="23"/>
    </row>
    <row r="38" spans="2:11" ht="24.95" customHeight="1" thickBot="1" x14ac:dyDescent="0.65">
      <c r="B38" s="25">
        <v>31</v>
      </c>
      <c r="C38" s="26" t="s">
        <v>6</v>
      </c>
      <c r="D38" s="31" t="s">
        <v>94</v>
      </c>
      <c r="E38" s="27">
        <v>45516</v>
      </c>
      <c r="F38" s="7">
        <v>5.5</v>
      </c>
      <c r="G38" s="8">
        <v>6</v>
      </c>
      <c r="H38" s="8">
        <v>4</v>
      </c>
      <c r="I38" s="8">
        <v>2</v>
      </c>
      <c r="J38" s="28">
        <f t="shared" si="2"/>
        <v>13.5</v>
      </c>
      <c r="K38" s="29"/>
    </row>
    <row r="39" spans="2:11" ht="19.149999999999999" x14ac:dyDescent="0.6">
      <c r="B39" s="10" t="s">
        <v>10</v>
      </c>
    </row>
    <row r="40" spans="2:11" x14ac:dyDescent="0.6">
      <c r="B40" s="11" t="s">
        <v>50</v>
      </c>
    </row>
    <row r="41" spans="2:11" x14ac:dyDescent="0.6">
      <c r="B41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42"/>
  <sheetViews>
    <sheetView showGridLines="0" tabSelected="1" zoomScale="85" zoomScaleNormal="85" workbookViewId="0">
      <selection activeCell="P6" sqref="P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107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108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109</v>
      </c>
      <c r="E8" s="17">
        <v>46022</v>
      </c>
      <c r="F8" s="6">
        <v>18</v>
      </c>
      <c r="G8" s="6"/>
      <c r="H8" s="3"/>
      <c r="I8" s="3">
        <v>4.5</v>
      </c>
      <c r="J8" s="18">
        <f>SUM(F8:H8)-I8</f>
        <v>13.5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/>
      <c r="E9" s="21"/>
      <c r="F9" s="12"/>
      <c r="G9" s="13"/>
      <c r="H9" s="13"/>
      <c r="I9" s="13"/>
      <c r="J9" s="22"/>
      <c r="K9" s="23"/>
    </row>
    <row r="10" spans="2:12" ht="24.95" customHeight="1" x14ac:dyDescent="0.6">
      <c r="B10" s="15">
        <v>3</v>
      </c>
      <c r="C10" s="16" t="s">
        <v>5</v>
      </c>
      <c r="D10" s="3"/>
      <c r="E10" s="17"/>
      <c r="F10" s="6"/>
      <c r="G10" s="6"/>
      <c r="H10" s="3"/>
      <c r="I10" s="3"/>
      <c r="J10" s="18"/>
      <c r="K10" s="19"/>
    </row>
    <row r="11" spans="2:12" ht="24.95" customHeight="1" x14ac:dyDescent="0.6">
      <c r="B11" s="15">
        <v>4</v>
      </c>
      <c r="C11" s="16" t="s">
        <v>6</v>
      </c>
      <c r="D11" s="3"/>
      <c r="E11" s="17"/>
      <c r="F11" s="6"/>
      <c r="G11" s="6"/>
      <c r="H11" s="3"/>
      <c r="I11" s="3"/>
      <c r="J11" s="18"/>
      <c r="K11" s="24"/>
    </row>
    <row r="12" spans="2:12" ht="24.95" customHeight="1" x14ac:dyDescent="0.6">
      <c r="B12" s="15">
        <v>5</v>
      </c>
      <c r="C12" s="20" t="s">
        <v>6</v>
      </c>
      <c r="D12" s="13"/>
      <c r="E12" s="21"/>
      <c r="F12" s="12"/>
      <c r="G12" s="13"/>
      <c r="H12" s="13"/>
      <c r="I12" s="13"/>
      <c r="J12" s="22"/>
      <c r="K12" s="23"/>
    </row>
    <row r="13" spans="2:12" ht="24.95" customHeight="1" x14ac:dyDescent="0.6">
      <c r="B13" s="15">
        <v>6</v>
      </c>
      <c r="C13" s="20" t="s">
        <v>6</v>
      </c>
      <c r="D13" s="13"/>
      <c r="E13" s="21"/>
      <c r="F13" s="12"/>
      <c r="G13" s="13"/>
      <c r="H13" s="13"/>
      <c r="I13" s="13"/>
      <c r="J13" s="22"/>
      <c r="K13" s="23"/>
    </row>
    <row r="14" spans="2:12" ht="24.95" customHeight="1" x14ac:dyDescent="0.6">
      <c r="B14" s="15">
        <v>7</v>
      </c>
      <c r="C14" s="20" t="s">
        <v>6</v>
      </c>
      <c r="D14" s="3"/>
      <c r="E14" s="21"/>
      <c r="F14" s="6"/>
      <c r="G14" s="3"/>
      <c r="H14" s="3"/>
      <c r="I14" s="3"/>
      <c r="J14" s="22"/>
      <c r="K14" s="24"/>
    </row>
    <row r="15" spans="2:12" ht="24.95" customHeight="1" x14ac:dyDescent="0.6">
      <c r="B15" s="15">
        <v>8</v>
      </c>
      <c r="C15" s="20" t="s">
        <v>6</v>
      </c>
      <c r="D15" s="3"/>
      <c r="E15" s="17"/>
      <c r="F15" s="6"/>
      <c r="G15" s="3"/>
      <c r="H15" s="3"/>
      <c r="I15" s="13"/>
      <c r="J15" s="22"/>
      <c r="K15" s="24"/>
    </row>
    <row r="16" spans="2:12" ht="24.95" customHeight="1" x14ac:dyDescent="0.6">
      <c r="B16" s="15">
        <v>9</v>
      </c>
      <c r="C16" s="20" t="s">
        <v>6</v>
      </c>
      <c r="D16" s="13"/>
      <c r="E16" s="21"/>
      <c r="F16" s="12"/>
      <c r="G16" s="13"/>
      <c r="H16" s="13"/>
      <c r="I16" s="13"/>
      <c r="J16" s="22"/>
      <c r="K16" s="23"/>
    </row>
    <row r="17" spans="2:11" ht="24.95" customHeight="1" x14ac:dyDescent="0.6">
      <c r="B17" s="15">
        <v>10</v>
      </c>
      <c r="C17" s="20" t="s">
        <v>6</v>
      </c>
      <c r="D17" s="13"/>
      <c r="E17" s="21"/>
      <c r="F17" s="12"/>
      <c r="G17" s="13"/>
      <c r="H17" s="13"/>
      <c r="I17" s="13"/>
      <c r="J17" s="22"/>
      <c r="K17" s="23"/>
    </row>
    <row r="18" spans="2:11" ht="24.95" customHeight="1" x14ac:dyDescent="0.6">
      <c r="B18" s="15">
        <v>11</v>
      </c>
      <c r="C18" s="20" t="s">
        <v>6</v>
      </c>
      <c r="D18" s="3"/>
      <c r="E18" s="17"/>
      <c r="F18" s="6"/>
      <c r="G18" s="3"/>
      <c r="H18" s="3"/>
      <c r="I18" s="3"/>
      <c r="J18" s="22"/>
      <c r="K18" s="24"/>
    </row>
    <row r="19" spans="2:11" ht="24.95" customHeight="1" x14ac:dyDescent="0.6">
      <c r="B19" s="15">
        <v>12</v>
      </c>
      <c r="C19" s="20" t="s">
        <v>6</v>
      </c>
      <c r="D19" s="3"/>
      <c r="E19" s="17"/>
      <c r="F19" s="6"/>
      <c r="G19" s="3"/>
      <c r="H19" s="3"/>
      <c r="I19" s="3"/>
      <c r="J19" s="22"/>
      <c r="K19" s="24"/>
    </row>
    <row r="20" spans="2:11" ht="24.95" customHeight="1" x14ac:dyDescent="0.6">
      <c r="B20" s="15">
        <v>13</v>
      </c>
      <c r="C20" s="20" t="s">
        <v>6</v>
      </c>
      <c r="D20" s="13"/>
      <c r="E20" s="21"/>
      <c r="F20" s="12"/>
      <c r="G20" s="13"/>
      <c r="H20" s="13"/>
      <c r="I20" s="13"/>
      <c r="J20" s="22"/>
      <c r="K20" s="23"/>
    </row>
    <row r="21" spans="2:11" ht="24.95" customHeight="1" x14ac:dyDescent="0.6">
      <c r="B21" s="15">
        <v>14</v>
      </c>
      <c r="C21" s="16" t="s">
        <v>6</v>
      </c>
      <c r="D21" s="30"/>
      <c r="E21" s="17"/>
      <c r="F21" s="6"/>
      <c r="G21" s="3"/>
      <c r="H21" s="3"/>
      <c r="I21" s="3"/>
      <c r="J21" s="22"/>
      <c r="K21" s="24"/>
    </row>
    <row r="22" spans="2:11" ht="24.95" customHeight="1" x14ac:dyDescent="0.6">
      <c r="B22" s="15">
        <v>15</v>
      </c>
      <c r="C22" s="16" t="s">
        <v>6</v>
      </c>
      <c r="D22" s="3"/>
      <c r="E22" s="17"/>
      <c r="F22" s="6"/>
      <c r="G22" s="3"/>
      <c r="H22" s="3"/>
      <c r="I22" s="3"/>
      <c r="J22" s="22"/>
      <c r="K22" s="24"/>
    </row>
    <row r="23" spans="2:11" ht="24.95" customHeight="1" x14ac:dyDescent="0.6">
      <c r="B23" s="15">
        <v>16</v>
      </c>
      <c r="C23" s="16" t="s">
        <v>6</v>
      </c>
      <c r="D23" s="3"/>
      <c r="E23" s="17"/>
      <c r="F23" s="6"/>
      <c r="G23" s="3"/>
      <c r="H23" s="3"/>
      <c r="I23" s="3"/>
      <c r="J23" s="22"/>
      <c r="K23" s="24"/>
    </row>
    <row r="24" spans="2:11" ht="24.95" customHeight="1" x14ac:dyDescent="0.6">
      <c r="B24" s="15">
        <v>17</v>
      </c>
      <c r="C24" s="16" t="s">
        <v>6</v>
      </c>
      <c r="D24" s="3"/>
      <c r="E24" s="17"/>
      <c r="F24" s="6"/>
      <c r="G24" s="3"/>
      <c r="H24" s="3"/>
      <c r="I24" s="3"/>
      <c r="J24" s="22"/>
      <c r="K24" s="24"/>
    </row>
    <row r="25" spans="2:11" ht="24.95" customHeight="1" x14ac:dyDescent="0.6">
      <c r="B25" s="15">
        <v>18</v>
      </c>
      <c r="C25" s="16" t="s">
        <v>6</v>
      </c>
      <c r="D25" s="13"/>
      <c r="E25" s="21"/>
      <c r="F25" s="12"/>
      <c r="G25" s="13"/>
      <c r="H25" s="13"/>
      <c r="I25" s="13"/>
      <c r="J25" s="22"/>
      <c r="K25" s="23"/>
    </row>
    <row r="26" spans="2:11" ht="24.95" customHeight="1" x14ac:dyDescent="0.6">
      <c r="B26" s="15">
        <v>19</v>
      </c>
      <c r="C26" s="20" t="s">
        <v>6</v>
      </c>
      <c r="D26" s="13"/>
      <c r="E26" s="21"/>
      <c r="F26" s="12"/>
      <c r="G26" s="13"/>
      <c r="H26" s="13"/>
      <c r="I26" s="13"/>
      <c r="J26" s="22"/>
      <c r="K26" s="23"/>
    </row>
    <row r="27" spans="2:11" ht="24.95" customHeight="1" x14ac:dyDescent="0.6">
      <c r="B27" s="15">
        <v>20</v>
      </c>
      <c r="C27" s="20" t="s">
        <v>6</v>
      </c>
      <c r="D27" s="13"/>
      <c r="E27" s="21"/>
      <c r="F27" s="12"/>
      <c r="G27" s="13"/>
      <c r="H27" s="13"/>
      <c r="I27" s="13"/>
      <c r="J27" s="22"/>
      <c r="K27" s="23"/>
    </row>
    <row r="28" spans="2:11" ht="24.95" customHeight="1" x14ac:dyDescent="0.6">
      <c r="B28" s="15">
        <v>21</v>
      </c>
      <c r="C28" s="20" t="s">
        <v>6</v>
      </c>
      <c r="D28" s="3"/>
      <c r="E28" s="17"/>
      <c r="F28" s="6"/>
      <c r="G28" s="3"/>
      <c r="H28" s="3"/>
      <c r="I28" s="3"/>
      <c r="J28" s="22"/>
      <c r="K28" s="24"/>
    </row>
    <row r="29" spans="2:11" ht="24.95" customHeight="1" x14ac:dyDescent="0.6">
      <c r="B29" s="15">
        <v>22</v>
      </c>
      <c r="C29" s="20" t="s">
        <v>6</v>
      </c>
      <c r="D29" s="3"/>
      <c r="E29" s="17"/>
      <c r="F29" s="6"/>
      <c r="G29" s="3"/>
      <c r="H29" s="3"/>
      <c r="I29" s="3"/>
      <c r="J29" s="22"/>
      <c r="K29" s="24"/>
    </row>
    <row r="30" spans="2:11" ht="24.95" customHeight="1" x14ac:dyDescent="0.6">
      <c r="B30" s="15">
        <v>23</v>
      </c>
      <c r="C30" s="20" t="s">
        <v>6</v>
      </c>
      <c r="D30" s="3"/>
      <c r="E30" s="17"/>
      <c r="F30" s="6"/>
      <c r="G30" s="3"/>
      <c r="H30" s="3"/>
      <c r="I30" s="3"/>
      <c r="J30" s="22"/>
      <c r="K30" s="24"/>
    </row>
    <row r="31" spans="2:11" ht="24.95" customHeight="1" x14ac:dyDescent="0.6">
      <c r="B31" s="15">
        <v>24</v>
      </c>
      <c r="C31" s="20" t="s">
        <v>6</v>
      </c>
      <c r="D31" s="13"/>
      <c r="E31" s="21"/>
      <c r="F31" s="12"/>
      <c r="G31" s="13"/>
      <c r="H31" s="13"/>
      <c r="I31" s="13"/>
      <c r="J31" s="22"/>
      <c r="K31" s="23"/>
    </row>
    <row r="32" spans="2:11" ht="24.95" customHeight="1" x14ac:dyDescent="0.6">
      <c r="B32" s="15">
        <v>25</v>
      </c>
      <c r="C32" s="20" t="s">
        <v>6</v>
      </c>
      <c r="D32" s="3"/>
      <c r="E32" s="17"/>
      <c r="F32" s="6"/>
      <c r="G32" s="3"/>
      <c r="H32" s="3"/>
      <c r="I32" s="3"/>
      <c r="J32" s="22"/>
      <c r="K32" s="24"/>
    </row>
    <row r="33" spans="2:11" ht="24.95" customHeight="1" x14ac:dyDescent="0.6">
      <c r="B33" s="15">
        <v>26</v>
      </c>
      <c r="C33" s="20" t="s">
        <v>6</v>
      </c>
      <c r="D33" s="32"/>
      <c r="E33" s="21"/>
      <c r="F33" s="12"/>
      <c r="G33" s="13"/>
      <c r="H33" s="13"/>
      <c r="I33" s="13"/>
      <c r="J33" s="22"/>
      <c r="K33" s="23"/>
    </row>
    <row r="34" spans="2:11" ht="24.95" customHeight="1" x14ac:dyDescent="0.6">
      <c r="B34" s="15">
        <v>27</v>
      </c>
      <c r="C34" s="20" t="s">
        <v>6</v>
      </c>
      <c r="D34" s="32"/>
      <c r="E34" s="21"/>
      <c r="F34" s="12"/>
      <c r="G34" s="13"/>
      <c r="H34" s="13"/>
      <c r="I34" s="13"/>
      <c r="J34" s="22"/>
      <c r="K34" s="23"/>
    </row>
    <row r="35" spans="2:11" ht="24.95" customHeight="1" x14ac:dyDescent="0.6">
      <c r="B35" s="15">
        <v>28</v>
      </c>
      <c r="C35" s="16" t="s">
        <v>6</v>
      </c>
      <c r="D35" s="30"/>
      <c r="E35" s="17"/>
      <c r="F35" s="6"/>
      <c r="G35" s="3"/>
      <c r="H35" s="3"/>
      <c r="I35" s="3"/>
      <c r="J35" s="22"/>
      <c r="K35" s="24"/>
    </row>
    <row r="36" spans="2:11" ht="24.95" customHeight="1" x14ac:dyDescent="0.6">
      <c r="B36" s="15">
        <v>29</v>
      </c>
      <c r="C36" s="16" t="s">
        <v>6</v>
      </c>
      <c r="D36" s="30"/>
      <c r="E36" s="17"/>
      <c r="F36" s="6"/>
      <c r="G36" s="3"/>
      <c r="H36" s="3"/>
      <c r="I36" s="3"/>
      <c r="J36" s="18"/>
      <c r="K36" s="24"/>
    </row>
    <row r="37" spans="2:11" ht="24.95" customHeight="1" x14ac:dyDescent="0.6">
      <c r="B37" s="15">
        <v>30</v>
      </c>
      <c r="C37" s="16" t="s">
        <v>6</v>
      </c>
      <c r="D37" s="30"/>
      <c r="E37" s="17"/>
      <c r="F37" s="6"/>
      <c r="G37" s="3"/>
      <c r="H37" s="3"/>
      <c r="I37" s="3"/>
      <c r="J37" s="18"/>
      <c r="K37" s="24"/>
    </row>
    <row r="38" spans="2:11" ht="24.95" customHeight="1" x14ac:dyDescent="0.6">
      <c r="B38" s="15">
        <v>31</v>
      </c>
      <c r="C38" s="16" t="s">
        <v>6</v>
      </c>
      <c r="D38" s="30"/>
      <c r="E38" s="17"/>
      <c r="F38" s="6"/>
      <c r="G38" s="3"/>
      <c r="H38" s="3"/>
      <c r="I38" s="3"/>
      <c r="J38" s="18"/>
      <c r="K38" s="24"/>
    </row>
    <row r="39" spans="2:11" ht="24.95" customHeight="1" thickBot="1" x14ac:dyDescent="0.65">
      <c r="B39" s="25">
        <v>32</v>
      </c>
      <c r="C39" s="26" t="s">
        <v>6</v>
      </c>
      <c r="D39" s="31"/>
      <c r="E39" s="27"/>
      <c r="F39" s="7"/>
      <c r="G39" s="8"/>
      <c r="H39" s="8"/>
      <c r="I39" s="8"/>
      <c r="J39" s="28"/>
      <c r="K39" s="29"/>
    </row>
    <row r="40" spans="2:11" ht="19.149999999999999" x14ac:dyDescent="0.6">
      <c r="B40" s="10" t="s">
        <v>10</v>
      </c>
    </row>
    <row r="41" spans="2:11" x14ac:dyDescent="0.6">
      <c r="B41" s="11" t="s">
        <v>50</v>
      </c>
    </row>
    <row r="42" spans="2:11" x14ac:dyDescent="0.6">
      <c r="B42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14</vt:i4>
      </vt:variant>
    </vt:vector>
  </HeadingPairs>
  <TitlesOfParts>
    <vt:vector size="21" baseType="lpstr">
      <vt:lpstr>1월</vt:lpstr>
      <vt:lpstr>2월</vt:lpstr>
      <vt:lpstr>3월</vt:lpstr>
      <vt:lpstr>5월</vt:lpstr>
      <vt:lpstr>6월</vt:lpstr>
      <vt:lpstr>7월</vt:lpstr>
      <vt:lpstr>8월</vt:lpstr>
      <vt:lpstr>'1월'!Print_Area</vt:lpstr>
      <vt:lpstr>'2월'!Print_Area</vt:lpstr>
      <vt:lpstr>'3월'!Print_Area</vt:lpstr>
      <vt:lpstr>'5월'!Print_Area</vt:lpstr>
      <vt:lpstr>'6월'!Print_Area</vt:lpstr>
      <vt:lpstr>'7월'!Print_Area</vt:lpstr>
      <vt:lpstr>'8월'!Print_Area</vt:lpstr>
      <vt:lpstr>'1월'!Print_Titles</vt:lpstr>
      <vt:lpstr>'2월'!Print_Titles</vt:lpstr>
      <vt:lpstr>'3월'!Print_Titles</vt:lpstr>
      <vt:lpstr>'5월'!Print_Titles</vt:lpstr>
      <vt:lpstr>'6월'!Print_Titles</vt:lpstr>
      <vt:lpstr>'7월'!Print_Titles</vt:lpstr>
      <vt:lpstr>'8월'!Print_Titles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</dc:creator>
  <cp:lastModifiedBy>박진형</cp:lastModifiedBy>
  <cp:lastPrinted>2025-08-04T01:04:32Z</cp:lastPrinted>
  <dcterms:created xsi:type="dcterms:W3CDTF">2017-02-03T08:34:00Z</dcterms:created>
  <dcterms:modified xsi:type="dcterms:W3CDTF">2026-01-07T18:20:05Z</dcterms:modified>
</cp:coreProperties>
</file>